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\Mag\FreeTips\Tip1047\"/>
    </mc:Choice>
  </mc:AlternateContent>
  <xr:revisionPtr revIDLastSave="0" documentId="13_ncr:1_{3EF89DCD-C773-414A-9E90-9D3EA443ED2A}" xr6:coauthVersionLast="47" xr6:coauthVersionMax="47" xr10:uidLastSave="{00000000-0000-0000-0000-000000000000}"/>
  <bookViews>
    <workbookView xWindow="-120" yWindow="-18120" windowWidth="29040" windowHeight="17520" activeTab="3" xr2:uid="{A03A190F-0B6E-4D43-BEFE-81410426095F}"/>
  </bookViews>
  <sheets>
    <sheet name="Guide" sheetId="9" r:id="rId1"/>
    <sheet name="Params" sheetId="10" r:id="rId2"/>
    <sheet name="TableExample" sheetId="7" r:id="rId3"/>
    <sheet name="Example" sheetId="4" r:id="rId4"/>
    <sheet name="ProvinceIslands" sheetId="2" r:id="rId5"/>
    <sheet name="IslandAreaCouncil" sheetId="5" r:id="rId6"/>
    <sheet name="AreaCouncilCommunity" sheetId="6" r:id="rId7"/>
    <sheet name="Data" sheetId="1" r:id="rId8"/>
  </sheets>
  <definedNames>
    <definedName name="_xlnm._FilterDatabase" localSheetId="7" hidden="1">Data!$A$3:$D$541</definedName>
    <definedName name="_xleta.BYROW" hidden="1" xlm="1">#NAME?</definedName>
    <definedName name="_xlpm.p" hidden="1" xlm="1">#NAME?</definedName>
    <definedName name="afbGuide">Guide!$A$1:$B$4</definedName>
    <definedName name="afbParams">Params!$A$1:$A$4</definedName>
    <definedName name="deAreaCouncil">AreaCouncilCommunity!$C$3</definedName>
    <definedName name="deIsland">IslandAreaCouncil!$A$3</definedName>
    <definedName name="deIslandAreaCouncil">AreaCouncilCommunity!$A$3</definedName>
    <definedName name="deProvince">ProvinceIslands!$A$4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Name">Params!$B$6</definedName>
    <definedName name="kCrosscheckMsg">Params!$B$10</definedName>
    <definedName name="kCrosscheckTolerance">Params!$B$9</definedName>
    <definedName name="kNow">Params!$B$11</definedName>
    <definedName name="kOrgName">Params!$B$8</definedName>
    <definedName name="kVersion">Params!$B$7</definedName>
    <definedName name="_xlnm.Print_Titles" localSheetId="0">Guide!$1:$4</definedName>
    <definedName name="_xlnm.Print_Titles" localSheetId="1">Params!$1:$4</definedName>
    <definedName name="ttSheet" localSheetId="0">Guide!$A$4:$D$4</definedName>
  </definedNames>
  <calcPr calcId="191029" calcMode="autoNoTable" iterateCount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0" l="1"/>
  <c r="A2" i="10"/>
  <c r="C9" i="9"/>
  <c r="A3" i="9"/>
  <c r="A2" i="9"/>
  <c r="C8" i="9"/>
  <c r="D5" i="4" l="1" a="1"/>
  <c r="D5" i="4" s="1"/>
  <c r="D70" i="6" a="1"/>
  <c r="D70" i="6" s="1"/>
  <c r="D69" i="6" a="1"/>
  <c r="D69" i="6" s="1"/>
  <c r="D68" i="6" a="1"/>
  <c r="D68" i="6" s="1"/>
  <c r="D67" i="6" a="1"/>
  <c r="D67" i="6" s="1"/>
  <c r="D66" i="6" a="1"/>
  <c r="D66" i="6" s="1"/>
  <c r="D65" i="6" a="1"/>
  <c r="D65" i="6" s="1"/>
  <c r="D64" i="6" a="1"/>
  <c r="D64" i="6" s="1"/>
  <c r="D63" i="6" a="1"/>
  <c r="D63" i="6" s="1"/>
  <c r="D62" i="6" a="1"/>
  <c r="D62" i="6" s="1"/>
  <c r="D61" i="6" a="1"/>
  <c r="D61" i="6" s="1"/>
  <c r="D60" i="6" a="1"/>
  <c r="D60" i="6" s="1"/>
  <c r="D59" i="6" a="1"/>
  <c r="D59" i="6" s="1"/>
  <c r="D58" i="6" a="1"/>
  <c r="D58" i="6" s="1"/>
  <c r="D57" i="6" a="1"/>
  <c r="D57" i="6" s="1"/>
  <c r="D56" i="6" a="1"/>
  <c r="D56" i="6" s="1"/>
  <c r="D55" i="6" a="1"/>
  <c r="D55" i="6" s="1"/>
  <c r="D54" i="6" a="1"/>
  <c r="D54" i="6" s="1"/>
  <c r="D53" i="6" a="1"/>
  <c r="D53" i="6" s="1"/>
  <c r="D52" i="6" a="1"/>
  <c r="D52" i="6" s="1"/>
  <c r="D51" i="6" a="1"/>
  <c r="D51" i="6" s="1"/>
  <c r="D50" i="6" a="1"/>
  <c r="D50" i="6" s="1"/>
  <c r="D49" i="6" a="1"/>
  <c r="D49" i="6" s="1"/>
  <c r="D48" i="6" a="1"/>
  <c r="D48" i="6" s="1"/>
  <c r="D47" i="6" a="1"/>
  <c r="D47" i="6" s="1"/>
  <c r="D46" i="6" a="1"/>
  <c r="D46" i="6" s="1"/>
  <c r="D45" i="6" a="1"/>
  <c r="D45" i="6" s="1"/>
  <c r="D44" i="6" a="1"/>
  <c r="D44" i="6" s="1"/>
  <c r="D43" i="6" a="1"/>
  <c r="D43" i="6" s="1"/>
  <c r="D42" i="6" a="1"/>
  <c r="D42" i="6" s="1"/>
  <c r="D41" i="6" a="1"/>
  <c r="D41" i="6" s="1"/>
  <c r="D40" i="6" a="1"/>
  <c r="D40" i="6" s="1"/>
  <c r="D39" i="6" a="1"/>
  <c r="D39" i="6" s="1"/>
  <c r="D38" i="6" a="1"/>
  <c r="D38" i="6" s="1"/>
  <c r="D37" i="6" a="1"/>
  <c r="D37" i="6" s="1"/>
  <c r="D36" i="6" a="1"/>
  <c r="D36" i="6" s="1"/>
  <c r="D35" i="6" a="1"/>
  <c r="D35" i="6" s="1"/>
  <c r="D34" i="6" a="1"/>
  <c r="D34" i="6" s="1"/>
  <c r="D33" i="6" a="1"/>
  <c r="D33" i="6" s="1"/>
  <c r="D32" i="6" a="1"/>
  <c r="D32" i="6" s="1"/>
  <c r="D31" i="6" a="1"/>
  <c r="D31" i="6" s="1"/>
  <c r="D30" i="6" a="1"/>
  <c r="D30" i="6" s="1"/>
  <c r="D29" i="6" a="1"/>
  <c r="D29" i="6" s="1"/>
  <c r="D28" i="6" a="1"/>
  <c r="D28" i="6" s="1"/>
  <c r="D27" i="6" a="1"/>
  <c r="D27" i="6" s="1"/>
  <c r="D26" i="6" a="1"/>
  <c r="D26" i="6" s="1"/>
  <c r="D25" i="6" a="1"/>
  <c r="D25" i="6" s="1"/>
  <c r="D24" i="6" a="1"/>
  <c r="D24" i="6" s="1"/>
  <c r="D23" i="6" a="1"/>
  <c r="D23" i="6" s="1"/>
  <c r="D22" i="6" a="1"/>
  <c r="D22" i="6" s="1"/>
  <c r="D21" i="6" a="1"/>
  <c r="D21" i="6" s="1"/>
  <c r="D20" i="6" a="1"/>
  <c r="D20" i="6" s="1"/>
  <c r="D19" i="6" a="1"/>
  <c r="D19" i="6" s="1"/>
  <c r="D18" i="6" a="1"/>
  <c r="D18" i="6" s="1"/>
  <c r="D17" i="6" a="1"/>
  <c r="D17" i="6" s="1"/>
  <c r="D16" i="6" a="1"/>
  <c r="D16" i="6" s="1"/>
  <c r="D15" i="6" a="1"/>
  <c r="D15" i="6" s="1"/>
  <c r="D14" i="6" a="1"/>
  <c r="D14" i="6" s="1"/>
  <c r="D13" i="6" a="1"/>
  <c r="D13" i="6" s="1"/>
  <c r="D12" i="6" a="1"/>
  <c r="D12" i="6" s="1"/>
  <c r="D11" i="6" a="1"/>
  <c r="D11" i="6" s="1"/>
  <c r="D10" i="6" a="1"/>
  <c r="D10" i="6" s="1"/>
  <c r="D9" i="6" a="1"/>
  <c r="D9" i="6" s="1"/>
  <c r="D8" i="6" a="1"/>
  <c r="D8" i="6" s="1"/>
  <c r="D7" i="6" a="1"/>
  <c r="D7" i="6" s="1"/>
  <c r="D6" i="6" a="1"/>
  <c r="D6" i="6" s="1"/>
  <c r="D5" i="6" a="1"/>
  <c r="D5" i="6" s="1"/>
  <c r="D4" i="6" a="1"/>
  <c r="D4" i="6" s="1"/>
  <c r="D3" i="6" a="1"/>
  <c r="D3" i="6" s="1"/>
  <c r="B70" i="6" a="1"/>
  <c r="B70" i="6" s="1"/>
  <c r="B69" i="6" a="1"/>
  <c r="B69" i="6" s="1"/>
  <c r="B68" i="6" a="1"/>
  <c r="B68" i="6" s="1"/>
  <c r="B67" i="6" a="1"/>
  <c r="B67" i="6" s="1"/>
  <c r="B66" i="6" a="1"/>
  <c r="B66" i="6" s="1"/>
  <c r="B65" i="6" a="1"/>
  <c r="B65" i="6" s="1"/>
  <c r="B64" i="6" a="1"/>
  <c r="B64" i="6" s="1"/>
  <c r="B63" i="6" a="1"/>
  <c r="B63" i="6" s="1"/>
  <c r="B62" i="6" a="1"/>
  <c r="B62" i="6" s="1"/>
  <c r="B61" i="6" a="1"/>
  <c r="B61" i="6" s="1"/>
  <c r="B60" i="6" a="1"/>
  <c r="B60" i="6" s="1"/>
  <c r="B59" i="6" a="1"/>
  <c r="B59" i="6" s="1"/>
  <c r="B58" i="6" a="1"/>
  <c r="B58" i="6" s="1"/>
  <c r="B57" i="6" a="1"/>
  <c r="B57" i="6" s="1"/>
  <c r="B56" i="6" a="1"/>
  <c r="B56" i="6" s="1"/>
  <c r="B55" i="6" a="1"/>
  <c r="B55" i="6" s="1"/>
  <c r="B54" i="6" a="1"/>
  <c r="B54" i="6" s="1"/>
  <c r="B53" i="6" a="1"/>
  <c r="B53" i="6" s="1"/>
  <c r="B52" i="6" a="1"/>
  <c r="B52" i="6" s="1"/>
  <c r="B51" i="6" a="1"/>
  <c r="B51" i="6" s="1"/>
  <c r="B50" i="6" a="1"/>
  <c r="B50" i="6" s="1"/>
  <c r="B49" i="6" a="1"/>
  <c r="B49" i="6" s="1"/>
  <c r="B48" i="6" a="1"/>
  <c r="B48" i="6" s="1"/>
  <c r="B47" i="6" a="1"/>
  <c r="B47" i="6" s="1"/>
  <c r="B46" i="6" a="1"/>
  <c r="B46" i="6" s="1"/>
  <c r="B45" i="6" a="1"/>
  <c r="B45" i="6" s="1"/>
  <c r="B44" i="6" a="1"/>
  <c r="B44" i="6" s="1"/>
  <c r="B43" i="6" a="1"/>
  <c r="B43" i="6" s="1"/>
  <c r="B42" i="6" a="1"/>
  <c r="B42" i="6" s="1"/>
  <c r="B41" i="6" a="1"/>
  <c r="B41" i="6" s="1"/>
  <c r="B40" i="6" a="1"/>
  <c r="B40" i="6" s="1"/>
  <c r="B39" i="6" a="1"/>
  <c r="B39" i="6" s="1"/>
  <c r="B38" i="6" a="1"/>
  <c r="B38" i="6" s="1"/>
  <c r="B37" i="6" a="1"/>
  <c r="B37" i="6" s="1"/>
  <c r="B36" i="6" a="1"/>
  <c r="B36" i="6" s="1"/>
  <c r="B35" i="6" a="1"/>
  <c r="B35" i="6" s="1"/>
  <c r="B34" i="6" a="1"/>
  <c r="B34" i="6" s="1"/>
  <c r="B33" i="6" a="1"/>
  <c r="B33" i="6" s="1"/>
  <c r="B32" i="6" a="1"/>
  <c r="B32" i="6" s="1"/>
  <c r="B31" i="6" a="1"/>
  <c r="B31" i="6" s="1"/>
  <c r="B30" i="6" a="1"/>
  <c r="B30" i="6" s="1"/>
  <c r="B29" i="6" a="1"/>
  <c r="B29" i="6" s="1"/>
  <c r="B28" i="6" a="1"/>
  <c r="B28" i="6" s="1"/>
  <c r="B27" i="6" a="1"/>
  <c r="B27" i="6" s="1"/>
  <c r="B26" i="6" a="1"/>
  <c r="B26" i="6" s="1"/>
  <c r="B25" i="6" a="1"/>
  <c r="B25" i="6" s="1"/>
  <c r="B24" i="6" a="1"/>
  <c r="B24" i="6" s="1"/>
  <c r="B23" i="6" a="1"/>
  <c r="B23" i="6" s="1"/>
  <c r="B22" i="6" a="1"/>
  <c r="B22" i="6" s="1"/>
  <c r="B21" i="6" a="1"/>
  <c r="B21" i="6" s="1"/>
  <c r="B20" i="6" a="1"/>
  <c r="B20" i="6" s="1"/>
  <c r="B19" i="6" a="1"/>
  <c r="B19" i="6" s="1"/>
  <c r="B18" i="6" a="1"/>
  <c r="B18" i="6" s="1"/>
  <c r="B17" i="6" a="1"/>
  <c r="B17" i="6" s="1"/>
  <c r="B16" i="6" a="1"/>
  <c r="B16" i="6" s="1"/>
  <c r="B15" i="6" a="1"/>
  <c r="B15" i="6" s="1"/>
  <c r="B14" i="6" a="1"/>
  <c r="B14" i="6" s="1"/>
  <c r="B13" i="6" a="1"/>
  <c r="B13" i="6" s="1"/>
  <c r="B12" i="6" a="1"/>
  <c r="B12" i="6" s="1"/>
  <c r="B11" i="6" a="1"/>
  <c r="B11" i="6" s="1"/>
  <c r="B10" i="6" a="1"/>
  <c r="B10" i="6" s="1"/>
  <c r="B9" i="6" a="1"/>
  <c r="B9" i="6" s="1"/>
  <c r="B8" i="6" a="1"/>
  <c r="B8" i="6" s="1"/>
  <c r="B7" i="6" a="1"/>
  <c r="B7" i="6" s="1"/>
  <c r="B6" i="6" a="1"/>
  <c r="B6" i="6" s="1"/>
  <c r="B5" i="6" a="1"/>
  <c r="B5" i="6" s="1"/>
  <c r="B4" i="6" a="1"/>
  <c r="B4" i="6" s="1"/>
  <c r="B3" i="6" a="1"/>
  <c r="B3" i="6" s="1"/>
  <c r="A3" i="6" a="1"/>
  <c r="A3" i="6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A3" i="5" l="1" a="1"/>
  <c r="B11" i="5" s="1" a="1"/>
  <c r="B11" i="5" s="1"/>
  <c r="A4" i="2" a="1"/>
  <c r="B9" i="2" s="1" a="1"/>
  <c r="B9" i="2" s="1"/>
  <c r="A13" i="2" a="1"/>
  <c r="A13" i="2" s="1"/>
  <c r="B13" i="2" s="1" a="1"/>
  <c r="B13" i="2" s="1"/>
  <c r="B6" i="2" l="1" a="1"/>
  <c r="B6" i="2" s="1"/>
  <c r="B12" i="5" a="1"/>
  <c r="B12" i="5" s="1"/>
  <c r="B21" i="5" a="1"/>
  <c r="B21" i="5" s="1"/>
  <c r="B5" i="5" a="1"/>
  <c r="B5" i="5" s="1"/>
  <c r="B7" i="2" a="1"/>
  <c r="B7" i="2" s="1"/>
  <c r="B20" i="5" a="1"/>
  <c r="B20" i="5" s="1"/>
  <c r="B7" i="5" a="1"/>
  <c r="B7" i="5" s="1"/>
  <c r="B17" i="5" a="1"/>
  <c r="B17" i="5" s="1"/>
  <c r="B4" i="5" a="1"/>
  <c r="B4" i="5" s="1"/>
  <c r="B16" i="5" a="1"/>
  <c r="B16" i="5" s="1"/>
  <c r="B26" i="5" a="1"/>
  <c r="B26" i="5" s="1"/>
  <c r="B6" i="5" a="1"/>
  <c r="B6" i="5" s="1"/>
  <c r="B27" i="5" a="1"/>
  <c r="B27" i="5" s="1"/>
  <c r="B32" i="5" a="1"/>
  <c r="B32" i="5" s="1"/>
  <c r="B33" i="5" a="1"/>
  <c r="B33" i="5" s="1"/>
  <c r="A4" i="2"/>
  <c r="B19" i="5" a="1"/>
  <c r="B19" i="5" s="1"/>
  <c r="B25" i="5" a="1"/>
  <c r="B25" i="5" s="1"/>
  <c r="B23" i="5" a="1"/>
  <c r="B23" i="5" s="1"/>
  <c r="B34" i="5" a="1"/>
  <c r="B34" i="5" s="1"/>
  <c r="B28" i="5" a="1"/>
  <c r="B28" i="5" s="1"/>
  <c r="B9" i="5" a="1"/>
  <c r="B9" i="5" s="1"/>
  <c r="B31" i="5" a="1"/>
  <c r="B31" i="5" s="1"/>
  <c r="A3" i="5"/>
  <c r="B5" i="2" a="1"/>
  <c r="B5" i="2" s="1"/>
  <c r="B10" i="5" a="1"/>
  <c r="B10" i="5" s="1"/>
  <c r="B29" i="5" a="1"/>
  <c r="B29" i="5" s="1"/>
  <c r="B30" i="5" a="1"/>
  <c r="B30" i="5" s="1"/>
  <c r="B18" i="5" a="1"/>
  <c r="B18" i="5" s="1"/>
  <c r="B8" i="5" a="1"/>
  <c r="B8" i="5" s="1"/>
  <c r="B15" i="5" a="1"/>
  <c r="B15" i="5" s="1"/>
  <c r="B22" i="5" a="1"/>
  <c r="B22" i="5" s="1"/>
  <c r="B8" i="2" a="1"/>
  <c r="B8" i="2" s="1"/>
  <c r="B24" i="5" a="1"/>
  <c r="B24" i="5" s="1"/>
  <c r="B13" i="5" a="1"/>
  <c r="B13" i="5" s="1"/>
  <c r="B14" i="5" a="1"/>
  <c r="B14" i="5" s="1"/>
  <c r="B4" i="2" l="1" a="1"/>
  <c r="B4" i="2" s="1"/>
  <c r="D3" i="4" a="1"/>
  <c r="D3" i="4" s="1"/>
  <c r="B3" i="5" a="1"/>
  <c r="B3" i="5" s="1"/>
  <c r="D4" i="4" a="1"/>
  <c r="D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2E453542-0E43-43CC-853C-2800375292A2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8D16D35A-8F18-40C1-854F-90A80A677F4B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<sst xmlns="http://schemas.openxmlformats.org/spreadsheetml/2006/main" count="2238" uniqueCount="659">
  <si>
    <t>Olal</t>
  </si>
  <si>
    <t>Unmet</t>
  </si>
  <si>
    <t>Win</t>
  </si>
  <si>
    <t>Burr</t>
  </si>
  <si>
    <t>Tahi</t>
  </si>
  <si>
    <t>Akhamb</t>
  </si>
  <si>
    <t>Benap</t>
  </si>
  <si>
    <t>Lawa</t>
  </si>
  <si>
    <t>Marino</t>
  </si>
  <si>
    <t>Amata</t>
  </si>
  <si>
    <t>Lorum</t>
  </si>
  <si>
    <t>Isini</t>
  </si>
  <si>
    <t>Island</t>
  </si>
  <si>
    <t>Central</t>
  </si>
  <si>
    <t>South</t>
  </si>
  <si>
    <t>North West</t>
  </si>
  <si>
    <t>South East</t>
  </si>
  <si>
    <t>North East</t>
  </si>
  <si>
    <t>West</t>
  </si>
  <si>
    <t>South West</t>
  </si>
  <si>
    <t>North</t>
  </si>
  <si>
    <t>East</t>
  </si>
  <si>
    <t xml:space="preserve">West </t>
  </si>
  <si>
    <t>Ambek</t>
  </si>
  <si>
    <t>Province</t>
  </si>
  <si>
    <t>Area Council</t>
  </si>
  <si>
    <t>Community</t>
  </si>
  <si>
    <t>Island--&gt;</t>
  </si>
  <si>
    <t>Area councils--&gt;</t>
  </si>
  <si>
    <t>Area council</t>
  </si>
  <si>
    <t>Communities--&gt;</t>
  </si>
  <si>
    <t>Bishmun boy</t>
  </si>
  <si>
    <t>Emie</t>
  </si>
  <si>
    <t>Emoi</t>
  </si>
  <si>
    <t>Lih</t>
  </si>
  <si>
    <t>Malokilo</t>
  </si>
  <si>
    <t>Piuma</t>
  </si>
  <si>
    <t>Ambea</t>
  </si>
  <si>
    <t>Maiwo</t>
  </si>
  <si>
    <t>Milu</t>
  </si>
  <si>
    <t>Santa</t>
  </si>
  <si>
    <t>Efite</t>
  </si>
  <si>
    <t>Tangoruki</t>
  </si>
  <si>
    <t>Emao</t>
  </si>
  <si>
    <t>Pili</t>
  </si>
  <si>
    <t>Tengai</t>
  </si>
  <si>
    <t>Makura</t>
  </si>
  <si>
    <t>Mitesu</t>
  </si>
  <si>
    <t>Ngone</t>
  </si>
  <si>
    <t>Anoetyam</t>
  </si>
  <si>
    <t>Tanne</t>
  </si>
  <si>
    <t>Fitene</t>
  </si>
  <si>
    <t>Anawi</t>
  </si>
  <si>
    <t>Heu</t>
  </si>
  <si>
    <t>Tiga</t>
  </si>
  <si>
    <t>Uropiruparu</t>
  </si>
  <si>
    <t>Vinuilivu</t>
  </si>
  <si>
    <t>Piemo</t>
  </si>
  <si>
    <t>Vermele</t>
  </si>
  <si>
    <t>Mali</t>
  </si>
  <si>
    <t>Tengireku</t>
  </si>
  <si>
    <t>Eritap</t>
  </si>
  <si>
    <t>Erokor</t>
  </si>
  <si>
    <t>Yorso</t>
  </si>
  <si>
    <t>Makumeu</t>
  </si>
  <si>
    <t>Varmaol</t>
  </si>
  <si>
    <t>Iferi</t>
  </si>
  <si>
    <t>Ngana &amp; Pala</t>
  </si>
  <si>
    <t>Virse</t>
  </si>
  <si>
    <t>Tingoo</t>
  </si>
  <si>
    <t>Pengu</t>
  </si>
  <si>
    <t>Anoatyom</t>
  </si>
  <si>
    <t>Fotani</t>
  </si>
  <si>
    <t>Aniwe</t>
  </si>
  <si>
    <t>Turrus</t>
  </si>
  <si>
    <t>Uropiropere</t>
  </si>
  <si>
    <t>Mitu lavo</t>
  </si>
  <si>
    <t xml:space="preserve">Meta </t>
  </si>
  <si>
    <t>Welhumpu</t>
  </si>
  <si>
    <t>Panmure</t>
  </si>
  <si>
    <t>Sinsit</t>
  </si>
  <si>
    <t>Shafti</t>
  </si>
  <si>
    <t>Tiftafe</t>
  </si>
  <si>
    <t>Morbeed</t>
  </si>
  <si>
    <t>Embron</t>
  </si>
  <si>
    <t>Bentacast</t>
  </si>
  <si>
    <t>Eros</t>
  </si>
  <si>
    <t>Errormenge</t>
  </si>
  <si>
    <t>Tongue</t>
  </si>
  <si>
    <t>Cote Slavi</t>
  </si>
  <si>
    <t>Gases</t>
  </si>
  <si>
    <t>Ham Sandwich</t>
  </si>
  <si>
    <t>Sarmittu</t>
  </si>
  <si>
    <t>Rini Muenlend</t>
  </si>
  <si>
    <t>Wele Mianlind</t>
  </si>
  <si>
    <t>Purtindur</t>
  </si>
  <si>
    <t>Vonmivos</t>
  </si>
  <si>
    <t>Bamboo Biy (Latekes)</t>
  </si>
  <si>
    <t>Boaip Prosbytureun</t>
  </si>
  <si>
    <t>Buoup SDA</t>
  </si>
  <si>
    <t>Lurli</t>
  </si>
  <si>
    <t>Lanbunwon</t>
  </si>
  <si>
    <t>Boriraa</t>
  </si>
  <si>
    <t>Whatisinds</t>
  </si>
  <si>
    <t>Veo Muinland</t>
  </si>
  <si>
    <t>Punepe</t>
  </si>
  <si>
    <t>Hoeiem</t>
  </si>
  <si>
    <t>Nuronehem</t>
  </si>
  <si>
    <t>Bunip</t>
  </si>
  <si>
    <t>Buthnil</t>
  </si>
  <si>
    <t>Renaveah</t>
  </si>
  <si>
    <t>Blocksund</t>
  </si>
  <si>
    <t>Remof</t>
  </si>
  <si>
    <t>Birtuvo</t>
  </si>
  <si>
    <t>Asirak</t>
  </si>
  <si>
    <t>Unie 5 (Motenoa)</t>
  </si>
  <si>
    <t>Uniu 2 (Neruhm)</t>
  </si>
  <si>
    <t>Tarumb</t>
  </si>
  <si>
    <t>Endo</t>
  </si>
  <si>
    <t>Nirsup Islind</t>
  </si>
  <si>
    <t>Freddy's Cummanity</t>
  </si>
  <si>
    <t>Fole</t>
  </si>
  <si>
    <t>Felebier</t>
  </si>
  <si>
    <t>Finte</t>
  </si>
  <si>
    <t>Fatungtang</t>
  </si>
  <si>
    <t>Sormutte</t>
  </si>
  <si>
    <t>Luuni</t>
  </si>
  <si>
    <t>Fino</t>
  </si>
  <si>
    <t>Funteng</t>
  </si>
  <si>
    <t>Barreck</t>
  </si>
  <si>
    <t>Horramel</t>
  </si>
  <si>
    <t>Kolia</t>
  </si>
  <si>
    <t>Lutzlitz</t>
  </si>
  <si>
    <t>Lari</t>
  </si>
  <si>
    <t>Kenkon</t>
  </si>
  <si>
    <t>Tuuta</t>
  </si>
  <si>
    <t>Lalanda</t>
  </si>
  <si>
    <t>Nersap Muunlind</t>
  </si>
  <si>
    <t>Bothal</t>
  </si>
  <si>
    <t>Penalum</t>
  </si>
  <si>
    <t>Wolo Islend</t>
  </si>
  <si>
    <t>Orip</t>
  </si>
  <si>
    <t>Wirmut</t>
  </si>
  <si>
    <t>Rine eslend</t>
  </si>
  <si>
    <t>Atchin Islend</t>
  </si>
  <si>
    <t>Vii Islind</t>
  </si>
  <si>
    <t>Lavilsel</t>
  </si>
  <si>
    <t>Lunbul</t>
  </si>
  <si>
    <t>Luru Nissu</t>
  </si>
  <si>
    <t>Butevar</t>
  </si>
  <si>
    <t>Lolanweo</t>
  </si>
  <si>
    <t>Lanmae</t>
  </si>
  <si>
    <t>Lenmic</t>
  </si>
  <si>
    <t>Leneruer</t>
  </si>
  <si>
    <t>Lenpikur</t>
  </si>
  <si>
    <t>Libotoir</t>
  </si>
  <si>
    <t>Wuwo</t>
  </si>
  <si>
    <t>Lilep</t>
  </si>
  <si>
    <t>Lilo</t>
  </si>
  <si>
    <t>Niu</t>
  </si>
  <si>
    <t>Tentor</t>
  </si>
  <si>
    <t>Espugles Bey</t>
  </si>
  <si>
    <t>Maghem</t>
  </si>
  <si>
    <t>Vuhos</t>
  </si>
  <si>
    <t>Mitonvet</t>
  </si>
  <si>
    <t>Malvir</t>
  </si>
  <si>
    <t>Mira</t>
  </si>
  <si>
    <t>Lisonwii</t>
  </si>
  <si>
    <t>Nupul</t>
  </si>
  <si>
    <t>Brinwio</t>
  </si>
  <si>
    <t>Tanmeal</t>
  </si>
  <si>
    <t>Palimii</t>
  </si>
  <si>
    <t>Pommal</t>
  </si>
  <si>
    <t>Vinmaves</t>
  </si>
  <si>
    <t>Pinepu</t>
  </si>
  <si>
    <t>Doxin Riof</t>
  </si>
  <si>
    <t>Lebo</t>
  </si>
  <si>
    <t>Buneor</t>
  </si>
  <si>
    <t>Toman oslind</t>
  </si>
  <si>
    <t>Cerolunu Boy</t>
  </si>
  <si>
    <t>Ranbotuwau</t>
  </si>
  <si>
    <t>Ranmehi</t>
  </si>
  <si>
    <t>Mulap</t>
  </si>
  <si>
    <t>Renin</t>
  </si>
  <si>
    <t>Rinworiken</t>
  </si>
  <si>
    <t xml:space="preserve">Ranwirkiro </t>
  </si>
  <si>
    <t>Milou Biy</t>
  </si>
  <si>
    <t>Hokoo</t>
  </si>
  <si>
    <t>Rovahon</t>
  </si>
  <si>
    <t>Saent Luu</t>
  </si>
  <si>
    <t>Seant Rephuel</t>
  </si>
  <si>
    <t>Semooo</t>
  </si>
  <si>
    <t>Sonesup</t>
  </si>
  <si>
    <t>Avock Islund</t>
  </si>
  <si>
    <t>Sesevi</t>
  </si>
  <si>
    <t>Selel</t>
  </si>
  <si>
    <t>Tihol Nassa</t>
  </si>
  <si>
    <t>Tohul Notin</t>
  </si>
  <si>
    <t>Litis</t>
  </si>
  <si>
    <t>Tovaok</t>
  </si>
  <si>
    <t>Tuvea</t>
  </si>
  <si>
    <t>Tivolei</t>
  </si>
  <si>
    <t>Pollingk</t>
  </si>
  <si>
    <t>Drovia</t>
  </si>
  <si>
    <t>Wullek</t>
  </si>
  <si>
    <t>Blocksend</t>
  </si>
  <si>
    <t>Tuek</t>
  </si>
  <si>
    <t>Brobarr</t>
  </si>
  <si>
    <t>Dewan</t>
  </si>
  <si>
    <t>Tismin</t>
  </si>
  <si>
    <t>Ulae</t>
  </si>
  <si>
    <t>Ura</t>
  </si>
  <si>
    <t>Nersop Islond</t>
  </si>
  <si>
    <t>Urpuv</t>
  </si>
  <si>
    <t>Vuhis</t>
  </si>
  <si>
    <t>Rombak</t>
  </si>
  <si>
    <t>Utes</t>
  </si>
  <si>
    <t>Tonmiro</t>
  </si>
  <si>
    <t>Bononoveth</t>
  </si>
  <si>
    <t>Lihin</t>
  </si>
  <si>
    <t>Vielile Nutin</t>
  </si>
  <si>
    <t>Alpilick</t>
  </si>
  <si>
    <t>Vatekao</t>
  </si>
  <si>
    <t xml:space="preserve">Varaver </t>
  </si>
  <si>
    <t>Lambobo</t>
  </si>
  <si>
    <t>Lisinweo</t>
  </si>
  <si>
    <t>Talwua</t>
  </si>
  <si>
    <t>Wiolot</t>
  </si>
  <si>
    <t>Wuewi</t>
  </si>
  <si>
    <t>Luvuimp 1</t>
  </si>
  <si>
    <t>Liveemp 2</t>
  </si>
  <si>
    <t>Unmuh</t>
  </si>
  <si>
    <t>Wiri</t>
  </si>
  <si>
    <t>Yolahoe</t>
  </si>
  <si>
    <t>Ranvetlum</t>
  </si>
  <si>
    <t>Abwentontere</t>
  </si>
  <si>
    <t>Abwetenveti</t>
  </si>
  <si>
    <t>Aloe word</t>
  </si>
  <si>
    <t>Alio</t>
  </si>
  <si>
    <t>Alake</t>
  </si>
  <si>
    <t>Asenvire</t>
  </si>
  <si>
    <t>Arungbwurite</t>
  </si>
  <si>
    <t>Baetaro</t>
  </si>
  <si>
    <t>Avureenu</t>
  </si>
  <si>
    <t>Barivot</t>
  </si>
  <si>
    <t>Boy Motula</t>
  </si>
  <si>
    <t>Beturero</t>
  </si>
  <si>
    <t>Bwetnupni</t>
  </si>
  <si>
    <t>Hut Wetu</t>
  </si>
  <si>
    <t>Guuiwo</t>
  </si>
  <si>
    <t>Kiraboo</t>
  </si>
  <si>
    <t>Lubeltamita</t>
  </si>
  <si>
    <t>Leine</t>
  </si>
  <si>
    <t>Lutano</t>
  </si>
  <si>
    <t>Loliaro</t>
  </si>
  <si>
    <t>Lelubeebee</t>
  </si>
  <si>
    <t>Lelimbonge</t>
  </si>
  <si>
    <t>Liliwuu</t>
  </si>
  <si>
    <t>Leltung</t>
  </si>
  <si>
    <t>Lonirori</t>
  </si>
  <si>
    <t>Lianu</t>
  </si>
  <si>
    <t>Nomiram</t>
  </si>
  <si>
    <t>Nignira</t>
  </si>
  <si>
    <t>Nikatare</t>
  </si>
  <si>
    <t>Numbworengiit</t>
  </si>
  <si>
    <t>Naini</t>
  </si>
  <si>
    <t>Nurevravi</t>
  </si>
  <si>
    <t>Nesiwe</t>
  </si>
  <si>
    <t>Neamome</t>
  </si>
  <si>
    <t>Nivundi</t>
  </si>
  <si>
    <t>Pines</t>
  </si>
  <si>
    <t>Panga</t>
  </si>
  <si>
    <t>Paant Cross</t>
  </si>
  <si>
    <t>Rengsaksak</t>
  </si>
  <si>
    <t>Ronmuwit</t>
  </si>
  <si>
    <t>Runun (Bibaroe)</t>
  </si>
  <si>
    <t>Renpotir</t>
  </si>
  <si>
    <t>Rembe</t>
  </si>
  <si>
    <t>Sukai</t>
  </si>
  <si>
    <t>Toliso</t>
  </si>
  <si>
    <t>Vandea</t>
  </si>
  <si>
    <t>Vonuembelu (Radcliff)</t>
  </si>
  <si>
    <t>Veteungi</t>
  </si>
  <si>
    <t>Vilakulako</t>
  </si>
  <si>
    <t>Wolehu</t>
  </si>
  <si>
    <t>Wiloreke</t>
  </si>
  <si>
    <t>Wolimbio</t>
  </si>
  <si>
    <t>Wonar</t>
  </si>
  <si>
    <t>Watarfall</t>
  </si>
  <si>
    <t>Aliwure</t>
  </si>
  <si>
    <t>Ambehuri</t>
  </si>
  <si>
    <t>Amserun/Fanapumu</t>
  </si>
  <si>
    <t>Aruku</t>
  </si>
  <si>
    <t>Avenomolui</t>
  </si>
  <si>
    <t>Avanubale</t>
  </si>
  <si>
    <t>Avoneriru/Atiruboi</t>
  </si>
  <si>
    <t>Avonitira Sacter 2</t>
  </si>
  <si>
    <t>Avinetora Sictar 1</t>
  </si>
  <si>
    <t>Avunetaru Socter 3</t>
  </si>
  <si>
    <t>Bonu</t>
  </si>
  <si>
    <t>Bulliun</t>
  </si>
  <si>
    <t>Blick Whirf</t>
  </si>
  <si>
    <t>Bumbou</t>
  </si>
  <si>
    <t>Baolo</t>
  </si>
  <si>
    <t>Eluu</t>
  </si>
  <si>
    <t>Goorgi Loni Plantetiun</t>
  </si>
  <si>
    <t>Husevuiu</t>
  </si>
  <si>
    <t>Highorbear</t>
  </si>
  <si>
    <t>Hukiru</t>
  </si>
  <si>
    <t>Ipuyotu</t>
  </si>
  <si>
    <t>Karupee</t>
  </si>
  <si>
    <t>Karuvunempi</t>
  </si>
  <si>
    <t>Kele</t>
  </si>
  <si>
    <t>Lerwa</t>
  </si>
  <si>
    <t>Lothi</t>
  </si>
  <si>
    <t>Lulak</t>
  </si>
  <si>
    <t>Lendori</t>
  </si>
  <si>
    <t>Leluthe</t>
  </si>
  <si>
    <t>Luren</t>
  </si>
  <si>
    <t>Loterir (Copi Qauras)</t>
  </si>
  <si>
    <t>Malei</t>
  </si>
  <si>
    <t>Miluvaku</t>
  </si>
  <si>
    <t>Menaoc</t>
  </si>
  <si>
    <t>Matantos</t>
  </si>
  <si>
    <t>Metuvele</t>
  </si>
  <si>
    <t>Milpoo</t>
  </si>
  <si>
    <t>Nakure</t>
  </si>
  <si>
    <t>Nemalu/Wiilupe</t>
  </si>
  <si>
    <t>Nimpaluiri</t>
  </si>
  <si>
    <t>Neanotese</t>
  </si>
  <si>
    <t>Nesilosali</t>
  </si>
  <si>
    <t>Nekako</t>
  </si>
  <si>
    <t>Olbio</t>
  </si>
  <si>
    <t>Pekotaure</t>
  </si>
  <si>
    <t>Pulmal</t>
  </si>
  <si>
    <t>Pilvas</t>
  </si>
  <si>
    <t>Ponuel</t>
  </si>
  <si>
    <t>Pinira</t>
  </si>
  <si>
    <t>Posuna</t>
  </si>
  <si>
    <t>Potawutu</t>
  </si>
  <si>
    <t>Pooraa</t>
  </si>
  <si>
    <t>Purt Lotua</t>
  </si>
  <si>
    <t>Part Olry</t>
  </si>
  <si>
    <t>Revlape</t>
  </si>
  <si>
    <t>Sumerondu</t>
  </si>
  <si>
    <t>Santurtur</t>
  </si>
  <si>
    <t>Searoy/Ravoniu</t>
  </si>
  <si>
    <t>Salesoe</t>
  </si>
  <si>
    <t>Tebanamuloi</t>
  </si>
  <si>
    <t>Tingiu</t>
  </si>
  <si>
    <t>Tinovesves</t>
  </si>
  <si>
    <t>Teserako</t>
  </si>
  <si>
    <t>Tusmeti</t>
  </si>
  <si>
    <t>Tuvonipue</t>
  </si>
  <si>
    <t>Taprumi</t>
  </si>
  <si>
    <t>Tholorep</t>
  </si>
  <si>
    <t>Tueve</t>
  </si>
  <si>
    <t>Telomuka</t>
  </si>
  <si>
    <t>Tusopumote</t>
  </si>
  <si>
    <t>Titura</t>
  </si>
  <si>
    <t>Unop</t>
  </si>
  <si>
    <t>Vasu</t>
  </si>
  <si>
    <t>Vutnalou (Layerikur)</t>
  </si>
  <si>
    <t>Vasuloe</t>
  </si>
  <si>
    <t>Wausilo</t>
  </si>
  <si>
    <t>Wanavue</t>
  </si>
  <si>
    <t>Wunin</t>
  </si>
  <si>
    <t>Wanpeko</t>
  </si>
  <si>
    <t>Wuse</t>
  </si>
  <si>
    <t>Yekur</t>
  </si>
  <si>
    <t>Biia</t>
  </si>
  <si>
    <t>Bunena bey</t>
  </si>
  <si>
    <t>Brosbono</t>
  </si>
  <si>
    <t>Bakare</t>
  </si>
  <si>
    <t>Bangunga</t>
  </si>
  <si>
    <t>Crystol blue</t>
  </si>
  <si>
    <t>Ekepo</t>
  </si>
  <si>
    <t>Emoe</t>
  </si>
  <si>
    <t>Epai</t>
  </si>
  <si>
    <t>Epale</t>
  </si>
  <si>
    <t>Erukor</t>
  </si>
  <si>
    <t>Eriti</t>
  </si>
  <si>
    <t>Eretap Velluga</t>
  </si>
  <si>
    <t>Etun</t>
  </si>
  <si>
    <t>Falokeru</t>
  </si>
  <si>
    <t>Faningi</t>
  </si>
  <si>
    <t>Burimbu/Musai</t>
  </si>
  <si>
    <t>Firori</t>
  </si>
  <si>
    <t>Ifura</t>
  </si>
  <si>
    <t>Iforo</t>
  </si>
  <si>
    <t>Jomismuu</t>
  </si>
  <si>
    <t>Lamon Bey</t>
  </si>
  <si>
    <t>Luonemao</t>
  </si>
  <si>
    <t>Laoseka</t>
  </si>
  <si>
    <t>Lomiri</t>
  </si>
  <si>
    <t>Luwuema</t>
  </si>
  <si>
    <t>Lokupeu</t>
  </si>
  <si>
    <t>Lopelis</t>
  </si>
  <si>
    <t>Lepilii</t>
  </si>
  <si>
    <t>Moketeu</t>
  </si>
  <si>
    <t>Melakate</t>
  </si>
  <si>
    <t>Malvisu</t>
  </si>
  <si>
    <t>Lelepo</t>
  </si>
  <si>
    <t>Mengoresa</t>
  </si>
  <si>
    <t>Mureo</t>
  </si>
  <si>
    <t xml:space="preserve">Muree </t>
  </si>
  <si>
    <t>Mipfoleu</t>
  </si>
  <si>
    <t>Moli</t>
  </si>
  <si>
    <t>Mala</t>
  </si>
  <si>
    <t>Melumaet</t>
  </si>
  <si>
    <t>Moree</t>
  </si>
  <si>
    <t>Mangelilua</t>
  </si>
  <si>
    <t>Moapoko</t>
  </si>
  <si>
    <t>Morio</t>
  </si>
  <si>
    <t>Matun</t>
  </si>
  <si>
    <t>Neaseng</t>
  </si>
  <si>
    <t>Pongpang</t>
  </si>
  <si>
    <t>Nukapi</t>
  </si>
  <si>
    <t>Nguli</t>
  </si>
  <si>
    <t>Ngulivosore</t>
  </si>
  <si>
    <t>Ngalokumoli</t>
  </si>
  <si>
    <t>Ngereo</t>
  </si>
  <si>
    <t>Nekoora</t>
  </si>
  <si>
    <t>Nuvunowa</t>
  </si>
  <si>
    <t>Niva</t>
  </si>
  <si>
    <t>Orooi</t>
  </si>
  <si>
    <t>Pounegeso</t>
  </si>
  <si>
    <t>Penito</t>
  </si>
  <si>
    <t>Ngolaporuo</t>
  </si>
  <si>
    <t>Runtapeo</t>
  </si>
  <si>
    <t>Peluuru</t>
  </si>
  <si>
    <t>Puland</t>
  </si>
  <si>
    <t>Pungavoo</t>
  </si>
  <si>
    <t>Suimu</t>
  </si>
  <si>
    <t>Ravinge</t>
  </si>
  <si>
    <t>Rivaleo</t>
  </si>
  <si>
    <t>Rawe</t>
  </si>
  <si>
    <t>Savure</t>
  </si>
  <si>
    <t>Sokuo</t>
  </si>
  <si>
    <t>Singove</t>
  </si>
  <si>
    <t>Sare</t>
  </si>
  <si>
    <t>Sherk Biy</t>
  </si>
  <si>
    <t>Senoi</t>
  </si>
  <si>
    <t>Tukiri</t>
  </si>
  <si>
    <t>Toloku</t>
  </si>
  <si>
    <t>Takilasoa</t>
  </si>
  <si>
    <t>Tinilui</t>
  </si>
  <si>
    <t>Tomenu</t>
  </si>
  <si>
    <t>Tuelui</t>
  </si>
  <si>
    <t>Tesuriku</t>
  </si>
  <si>
    <t>Tavuu</t>
  </si>
  <si>
    <t>Temeli</t>
  </si>
  <si>
    <t>Tongemua</t>
  </si>
  <si>
    <t>Unokap</t>
  </si>
  <si>
    <t>Utunlang</t>
  </si>
  <si>
    <t>Wirilapa</t>
  </si>
  <si>
    <t>Veatunu</t>
  </si>
  <si>
    <t>Wilavoo</t>
  </si>
  <si>
    <t>Wembi</t>
  </si>
  <si>
    <t>Waroseviu</t>
  </si>
  <si>
    <t>Wiune</t>
  </si>
  <si>
    <t>Woraoro</t>
  </si>
  <si>
    <t>Anediwiaa</t>
  </si>
  <si>
    <t>Anulgheuit</t>
  </si>
  <si>
    <t>Analphuneyeg</t>
  </si>
  <si>
    <t>Anawimet</t>
  </si>
  <si>
    <t>Anowenshu</t>
  </si>
  <si>
    <t>Anopladey</t>
  </si>
  <si>
    <t>Aneyic</t>
  </si>
  <si>
    <t>Bethul</t>
  </si>
  <si>
    <t>Dillen's Buy</t>
  </si>
  <si>
    <t>Enolgunie</t>
  </si>
  <si>
    <t>Enulpat</t>
  </si>
  <si>
    <t>Enamokel</t>
  </si>
  <si>
    <t>Greon Peent</t>
  </si>
  <si>
    <t>Hegh Hill</t>
  </si>
  <si>
    <t>Ifu</t>
  </si>
  <si>
    <t>Iopkupin</t>
  </si>
  <si>
    <t>Ietuki</t>
  </si>
  <si>
    <t>Iesia</t>
  </si>
  <si>
    <t>Ikukihik</t>
  </si>
  <si>
    <t>Ihlaga</t>
  </si>
  <si>
    <t>Imoalunu</t>
  </si>
  <si>
    <t>Imuku</t>
  </si>
  <si>
    <t>Ikuekue</t>
  </si>
  <si>
    <t>Iminuku</t>
  </si>
  <si>
    <t>Imorki</t>
  </si>
  <si>
    <t>Inamo</t>
  </si>
  <si>
    <t>Imata</t>
  </si>
  <si>
    <t>Inep</t>
  </si>
  <si>
    <t>Ipik</t>
  </si>
  <si>
    <t>Messoin bey</t>
  </si>
  <si>
    <t>Ipekinien</t>
  </si>
  <si>
    <t>Ipute</t>
  </si>
  <si>
    <t>Irenuep</t>
  </si>
  <si>
    <t>Iseke</t>
  </si>
  <si>
    <t>Isokiwui</t>
  </si>
  <si>
    <t>Isivea</t>
  </si>
  <si>
    <t>Ishau</t>
  </si>
  <si>
    <t>Iteka</t>
  </si>
  <si>
    <t>Itonghu</t>
  </si>
  <si>
    <t>Iwera</t>
  </si>
  <si>
    <t>Iwiawan</t>
  </si>
  <si>
    <t>Iwiuk</t>
  </si>
  <si>
    <t>Kopontate</t>
  </si>
  <si>
    <t>Kwimuro</t>
  </si>
  <si>
    <t>Kwansowo</t>
  </si>
  <si>
    <t>Kwuriki</t>
  </si>
  <si>
    <t>Kwetipurun</t>
  </si>
  <si>
    <t>Kwounrapu</t>
  </si>
  <si>
    <t>Lumkeul</t>
  </si>
  <si>
    <t>Liwos</t>
  </si>
  <si>
    <t>Lileilo</t>
  </si>
  <si>
    <t>Lonifa</t>
  </si>
  <si>
    <t>Lonus</t>
  </si>
  <si>
    <t>Leniu</t>
  </si>
  <si>
    <t>Liwinatim</t>
  </si>
  <si>
    <t>Lewinoai</t>
  </si>
  <si>
    <t>Liwkiteo</t>
  </si>
  <si>
    <t>Lewnopuee</t>
  </si>
  <si>
    <t>Lawnupekil</t>
  </si>
  <si>
    <t>Lewnepukreen</t>
  </si>
  <si>
    <t>Lawnepuna</t>
  </si>
  <si>
    <t>Luwnapkemom</t>
  </si>
  <si>
    <t>Lawnoil Lebangtoa</t>
  </si>
  <si>
    <t>Manaapen</t>
  </si>
  <si>
    <t>Nimoroi</t>
  </si>
  <si>
    <t>Newonumripan</t>
  </si>
  <si>
    <t>Nohaba</t>
  </si>
  <si>
    <t>Port Nervun</t>
  </si>
  <si>
    <t>Pirt Rasolutean</t>
  </si>
  <si>
    <t>Potosupsup</t>
  </si>
  <si>
    <t>Selphur Buy</t>
  </si>
  <si>
    <t>Waasase</t>
  </si>
  <si>
    <t>Teraimire</t>
  </si>
  <si>
    <t>Totarvitwa</t>
  </si>
  <si>
    <t>Umutch</t>
  </si>
  <si>
    <t>Utchi</t>
  </si>
  <si>
    <t>Whetugress</t>
  </si>
  <si>
    <t>Yinbunin</t>
  </si>
  <si>
    <t>Yonkaenunapem</t>
  </si>
  <si>
    <t>Yanmereo</t>
  </si>
  <si>
    <t>Yiruorong</t>
  </si>
  <si>
    <t>Totuse</t>
  </si>
  <si>
    <t>Yeqinu</t>
  </si>
  <si>
    <t>Yuwoe</t>
  </si>
  <si>
    <t>Yagivagemenu</t>
  </si>
  <si>
    <t>Runeh</t>
  </si>
  <si>
    <t>Langheroku</t>
  </si>
  <si>
    <t>Lorik</t>
  </si>
  <si>
    <t>Leqel</t>
  </si>
  <si>
    <t>Lotoa</t>
  </si>
  <si>
    <t>Dovar's bey</t>
  </si>
  <si>
    <t>Lieluho</t>
  </si>
  <si>
    <t>Avor</t>
  </si>
  <si>
    <t>Nurenengmun</t>
  </si>
  <si>
    <t>Qwurumugdo</t>
  </si>
  <si>
    <t>Rih</t>
  </si>
  <si>
    <t>Telvot</t>
  </si>
  <si>
    <t>Tatelog</t>
  </si>
  <si>
    <t>Latewan</t>
  </si>
  <si>
    <t>Siisodo Gig</t>
  </si>
  <si>
    <t>Tesmati</t>
  </si>
  <si>
    <t>Viveroo</t>
  </si>
  <si>
    <t>Vitlos</t>
  </si>
  <si>
    <t>Lamegho</t>
  </si>
  <si>
    <t>Bonguron</t>
  </si>
  <si>
    <t>Namosuru</t>
  </si>
  <si>
    <t>Lompit</t>
  </si>
  <si>
    <t>Torse</t>
  </si>
  <si>
    <t>Lominmin</t>
  </si>
  <si>
    <t>Nemeng</t>
  </si>
  <si>
    <t>Seritu</t>
  </si>
  <si>
    <t>Awerar</t>
  </si>
  <si>
    <t>Boshmon boy</t>
  </si>
  <si>
    <t>Qiativotivi</t>
  </si>
  <si>
    <t>Luvigvug</t>
  </si>
  <si>
    <t>Onter</t>
  </si>
  <si>
    <t>Dalap</t>
  </si>
  <si>
    <t>Kora</t>
  </si>
  <si>
    <t>Peam</t>
  </si>
  <si>
    <t>Qietoruiruu</t>
  </si>
  <si>
    <t>Dirigk</t>
  </si>
  <si>
    <t>Norogesul</t>
  </si>
  <si>
    <t>Pert Pittarsan</t>
  </si>
  <si>
    <t>Quinlop</t>
  </si>
  <si>
    <t>Lianeatek</t>
  </si>
  <si>
    <t>Kehipuk</t>
  </si>
  <si>
    <t>Maroloe</t>
  </si>
  <si>
    <t>Divotwup</t>
  </si>
  <si>
    <t>Vutip</t>
  </si>
  <si>
    <t>Leso</t>
  </si>
  <si>
    <t>Puka</t>
  </si>
  <si>
    <t>Lien bay</t>
  </si>
  <si>
    <t>Wusugo</t>
  </si>
  <si>
    <t>Unhinged</t>
  </si>
  <si>
    <t>Liroslut</t>
  </si>
  <si>
    <t>Tonssil</t>
  </si>
  <si>
    <t>Farout</t>
  </si>
  <si>
    <t>Pukemore</t>
  </si>
  <si>
    <t>Duvels Cock</t>
  </si>
  <si>
    <t>Maladapted</t>
  </si>
  <si>
    <t>Bug Nasti</t>
  </si>
  <si>
    <t>Nuteds</t>
  </si>
  <si>
    <t>Viagara</t>
  </si>
  <si>
    <t>Yuck</t>
  </si>
  <si>
    <t>Pongi</t>
  </si>
  <si>
    <t>Youpoo</t>
  </si>
  <si>
    <t>Muck</t>
  </si>
  <si>
    <t>Twits</t>
  </si>
  <si>
    <t>Veribosi</t>
  </si>
  <si>
    <t>Messup</t>
  </si>
  <si>
    <t>Burocrat</t>
  </si>
  <si>
    <t>IslandAreaCouncil</t>
  </si>
  <si>
    <t>Column5</t>
  </si>
  <si>
    <t xml:space="preserve"> </t>
  </si>
  <si>
    <t>Guide</t>
  </si>
  <si>
    <t xml:space="preserve">  </t>
  </si>
  <si>
    <t>Overview</t>
  </si>
  <si>
    <t>Application purpose</t>
  </si>
  <si>
    <t>Workbook purpose</t>
  </si>
  <si>
    <t>File name</t>
  </si>
  <si>
    <t>Version</t>
  </si>
  <si>
    <t>Who created/modified</t>
  </si>
  <si>
    <t>Modifications</t>
  </si>
  <si>
    <t>EXAMPLE 13-Apr-2014 PO Changed calculation of product orders and added sheet dProdOrders to do so.</t>
  </si>
  <si>
    <t>References</t>
  </si>
  <si>
    <t>EXAMPLE For description of Data Tables, goto Excel Help  |  Index and type Data Table.</t>
  </si>
  <si>
    <t>Input-Process-Output</t>
  </si>
  <si>
    <t>Data sources</t>
  </si>
  <si>
    <t>EXAMPLE Text file imported from ABC system.</t>
  </si>
  <si>
    <t>Data inputs</t>
  </si>
  <si>
    <t>EXAMPLE Adjustments input onto mSheet4. Other inputs on mSheet3.</t>
  </si>
  <si>
    <t>Process/Calcs</t>
  </si>
  <si>
    <t>EXAMPLE Totals of various grouping of codes on mSheet3</t>
  </si>
  <si>
    <t>Reports</t>
  </si>
  <si>
    <t>EXAMPLE mSheet2</t>
  </si>
  <si>
    <t>Outputs</t>
  </si>
  <si>
    <t>EXAMPLE mSheet4 has output to Summary.xls. oDataSheet has output for text file imported by POWA system.</t>
  </si>
  <si>
    <t>Files</t>
  </si>
  <si>
    <t>List the different files and any file-naming convention.</t>
  </si>
  <si>
    <t>Diagram of data flow</t>
  </si>
  <si>
    <t>Procedures</t>
  </si>
  <si>
    <t>Usage tasks</t>
  </si>
  <si>
    <t>Task 1</t>
  </si>
  <si>
    <t>1)</t>
  </si>
  <si>
    <t>2)</t>
  </si>
  <si>
    <t>Maintenance tasks</t>
  </si>
  <si>
    <t>Task</t>
  </si>
  <si>
    <t>Paul Oulton</t>
  </si>
  <si>
    <t>Key parameters</t>
  </si>
  <si>
    <t>Application name</t>
  </si>
  <si>
    <t>Organisation name</t>
  </si>
  <si>
    <t>Org name</t>
  </si>
  <si>
    <t>Crosscheck tolerance</t>
  </si>
  <si>
    <t>Crosscheck text</t>
  </si>
  <si>
    <t>Crosscheck error!</t>
  </si>
  <si>
    <t>Now</t>
  </si>
  <si>
    <t>3-Aug-2025A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</si>
</sst>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164" formatCode="#,##0_);\(#,##0\);0_);* @_)"/>
    <numFmt numFmtId="165" formatCode="#,##0,_);\(#,##0,\);0_);* @_)"/>
    <numFmt numFmtId="166" formatCode="#,##0,,_);\(#,##0,,\);0_);* @_)"/>
    <numFmt numFmtId="167" formatCode="#,##0.0_);\(#,##0.0\);0.0_);* @_)"/>
    <numFmt numFmtId="168" formatCode="#,##0.00_);\(#,##0.00\);0.00_);* @_)"/>
    <numFmt numFmtId="169" formatCode="#,##0.000_);\(#,##0.000\);0.000_);* @_)"/>
    <numFmt numFmtId="170" formatCode="#,##0.0000_);\(#,##0.0000\);0.0000_);* @_)"/>
    <numFmt numFmtId="171" formatCode="d\-mmm;[Red]&quot;Not date&quot;;&quot;-&quot;;[Red]* &quot;Not date&quot;"/>
    <numFmt numFmtId="172" formatCode="d\-mmm\-yyyy;[Red]&quot;Not date&quot;;&quot;-&quot;;[Red]* &quot;Not date&quot;"/>
    <numFmt numFmtId="173" formatCode="d\-mmm\-yyyy\ h:mm\ AM/PM;[Red]* &quot;Not date&quot;;&quot;-&quot;;[Red]* &quot;Not date&quot;"/>
    <numFmt numFmtId="174" formatCode="d/mm/yyyy;[Red]* &quot;Not date&quot;;&quot;-&quot;;[Red]* &quot;Not date&quot;"/>
    <numFmt numFmtId="175" formatCode="mm/dd/yyyy;[Red]* &quot;Not date&quot;;&quot;-&quot;;[Red]* &quot;Not date&quot;"/>
    <numFmt numFmtId="176" formatCode="mmm\-yy;[Red]* &quot;Not date&quot;;&quot;-&quot;;[Red]* &quot;Not date&quot;"/>
    <numFmt numFmtId="177" formatCode="0;\-0;0;* @"/>
    <numFmt numFmtId="178" formatCode="h:mm\ AM/PM;[Red]* &quot;Not time&quot;;\-;[Red]* &quot;Not time&quot;"/>
    <numFmt numFmtId="179" formatCode="[h]:mm;[Red]* &quot;Not time&quot;;[h]:mm;[Red]* &quot;Not time&quot;"/>
    <numFmt numFmtId="180" formatCode="0%;\-0%;0%;* @_%"/>
    <numFmt numFmtId="181" formatCode="0.0%;\-0.0%;0.0%;* @_%"/>
    <numFmt numFmtId="182" formatCode="0.00%;\-0.00%;0.00%;* @_%"/>
    <numFmt numFmtId="183" formatCode="0.000%;\-0.000%;0.000%;* @_%"/>
    <numFmt numFmtId="184" formatCode="\$* #,##0_);\$* \(#,##0\);\$* 0_);* @_)"/>
    <numFmt numFmtId="185" formatCode="\$* #,##0,_);\$* \(#,##0,\);\$* 0_);* @_)"/>
    <numFmt numFmtId="186" formatCode="\$* #,##0,,_);\$* \(#,##0,,\);\$* 0_);* @_)"/>
    <numFmt numFmtId="187" formatCode="\$* #,##0.0_);\$* \(#,##0.0\);\$* 0.0_);* @_)"/>
    <numFmt numFmtId="188" formatCode="\$* #,##0.00_);\$* \(#,##0.00\);\$* 0.00_);* @_)"/>
    <numFmt numFmtId="189" formatCode="\$* #,##0.000_);\$* \(#,##0.000\);\$* 0.000_);* @_)"/>
    <numFmt numFmtId="190" formatCode="\$* #,##0.0000_);\$* \(#,##0.0000\);\$* 0.0000_);* @_)"/>
    <numFmt numFmtId="191" formatCode="d\-mmm\-yyyy;[Red]* &quot;Not date&quot;;&quot;-&quot;;[Red]* &quot;Not date&quot;"/>
    <numFmt numFmtId="192" formatCode="d\-mmm\-yyyy\ h:mm\ AM/PM;[Red]* &quot;Not time&quot;;0;[Red]* &quot;Not time&quot;"/>
  </numFmts>
  <fonts count="16" x14ac:knownFonts="1">
    <font>
      <sz val="8"/>
      <name val="Arial"/>
      <family val="2"/>
    </font>
    <font>
      <sz val="14"/>
      <name val="Calibri"/>
      <family val="2"/>
    </font>
    <font>
      <sz val="14"/>
      <color theme="1"/>
      <name val="Calibri"/>
      <family val="2"/>
    </font>
    <font>
      <sz val="14"/>
      <color rgb="FF000000"/>
      <name val="Calibri"/>
      <family val="2"/>
    </font>
    <font>
      <sz val="14"/>
      <color theme="1"/>
      <name val="Aptos Narrow"/>
      <family val="2"/>
      <scheme val="minor"/>
    </font>
    <font>
      <sz val="8"/>
      <name val="Arial"/>
      <family val="2"/>
    </font>
    <font>
      <sz val="8"/>
      <color indexed="8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u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D8E4BC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91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69" fontId="5" fillId="0" borderId="0" applyFill="0" applyBorder="0">
      <alignment vertical="top"/>
    </xf>
    <xf numFmtId="170" fontId="5" fillId="0" borderId="0" applyFill="0" applyBorder="0">
      <alignment vertical="top"/>
    </xf>
    <xf numFmtId="171" fontId="5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76" fontId="5" fillId="0" borderId="0" applyFill="0" applyBorder="0">
      <alignment horizontal="center" vertical="top"/>
    </xf>
    <xf numFmtId="177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80" fontId="5" fillId="0" borderId="0" applyFill="0" applyBorder="0">
      <alignment vertical="top"/>
    </xf>
    <xf numFmtId="181" fontId="6" fillId="0" borderId="0" applyFill="0" applyBorder="0">
      <alignment vertical="top"/>
    </xf>
    <xf numFmtId="182" fontId="5" fillId="0" borderId="0" applyFill="0" applyBorder="0">
      <alignment vertical="top"/>
    </xf>
    <xf numFmtId="183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0" fontId="7" fillId="0" borderId="0" applyFill="0" applyBorder="0">
      <alignment vertical="top"/>
    </xf>
    <xf numFmtId="0" fontId="8" fillId="0" borderId="0" applyFill="0" applyBorder="0">
      <alignment vertical="top"/>
    </xf>
    <xf numFmtId="0" fontId="9" fillId="0" borderId="0" applyFill="0" applyBorder="0">
      <alignment vertical="top"/>
    </xf>
    <xf numFmtId="0" fontId="10" fillId="0" borderId="0" applyFill="0" applyBorder="0">
      <alignment vertical="top"/>
    </xf>
    <xf numFmtId="0" fontId="11" fillId="0" borderId="0" applyFill="0" applyBorder="0">
      <alignment horizontal="left" vertical="top"/>
      <protection hidden="1"/>
    </xf>
    <xf numFmtId="0" fontId="11" fillId="0" borderId="0" applyFill="0" applyBorder="0">
      <alignment horizontal="left" vertical="top" indent="1"/>
      <protection hidden="1"/>
    </xf>
    <xf numFmtId="0" fontId="11" fillId="0" borderId="0" applyFill="0" applyBorder="0">
      <alignment horizontal="left" vertical="top" indent="2"/>
      <protection hidden="1"/>
    </xf>
    <xf numFmtId="0" fontId="11" fillId="0" borderId="0" applyFill="0" applyBorder="0">
      <alignment horizontal="left" vertical="top" indent="3"/>
      <protection hidden="1"/>
    </xf>
    <xf numFmtId="164" fontId="12" fillId="0" borderId="0" applyFill="0" applyBorder="0">
      <alignment vertical="top"/>
      <protection locked="0"/>
    </xf>
    <xf numFmtId="165" fontId="12" fillId="0" borderId="0" applyFill="0" applyBorder="0">
      <alignment vertical="top"/>
      <protection locked="0"/>
    </xf>
    <xf numFmtId="166" fontId="12" fillId="0" borderId="0" applyFill="0" applyBorder="0">
      <alignment vertical="top"/>
      <protection locked="0"/>
    </xf>
    <xf numFmtId="167" fontId="12" fillId="0" borderId="0" applyFill="0" applyBorder="0">
      <alignment vertical="top"/>
      <protection locked="0"/>
    </xf>
    <xf numFmtId="168" fontId="12" fillId="0" borderId="0" applyFill="0" applyBorder="0">
      <alignment vertical="top"/>
      <protection locked="0"/>
    </xf>
    <xf numFmtId="169" fontId="12" fillId="0" borderId="0" applyFill="0" applyBorder="0">
      <alignment vertical="top"/>
      <protection locked="0"/>
    </xf>
    <xf numFmtId="170" fontId="12" fillId="0" borderId="0" applyFill="0" applyBorder="0">
      <alignment vertical="top"/>
      <protection locked="0"/>
    </xf>
    <xf numFmtId="171" fontId="12" fillId="0" borderId="0" applyFill="0" applyBorder="0">
      <alignment vertical="top"/>
      <protection locked="0"/>
    </xf>
    <xf numFmtId="191" fontId="12" fillId="0" borderId="0" applyFill="0" applyBorder="0">
      <alignment vertical="top"/>
      <protection locked="0"/>
    </xf>
    <xf numFmtId="192" fontId="12" fillId="0" borderId="0" applyFill="0" applyBorder="0">
      <alignment vertical="top"/>
      <protection locked="0"/>
    </xf>
    <xf numFmtId="174" fontId="12" fillId="0" borderId="0" applyFill="0" applyBorder="0">
      <alignment vertical="top"/>
      <protection locked="0"/>
    </xf>
    <xf numFmtId="175" fontId="12" fillId="0" borderId="0" applyFill="0" applyBorder="0">
      <alignment vertical="top"/>
      <protection locked="0"/>
    </xf>
    <xf numFmtId="176" fontId="12" fillId="0" borderId="0" applyFill="0" applyBorder="0">
      <alignment vertical="top"/>
      <protection locked="0"/>
    </xf>
    <xf numFmtId="177" fontId="12" fillId="0" borderId="0" applyFill="0" applyBorder="0">
      <alignment vertical="top"/>
      <protection locked="0"/>
    </xf>
    <xf numFmtId="177" fontId="13" fillId="0" borderId="0" applyFill="0" applyBorder="0">
      <alignment vertical="top"/>
      <protection locked="0"/>
    </xf>
    <xf numFmtId="177" fontId="12" fillId="0" borderId="0" applyFill="0" applyBorder="0">
      <alignment vertical="top"/>
      <protection locked="0"/>
    </xf>
    <xf numFmtId="49" fontId="12" fillId="0" borderId="0" applyFill="0" applyBorder="0">
      <alignment vertical="top"/>
      <protection locked="0"/>
    </xf>
    <xf numFmtId="49" fontId="13" fillId="0" borderId="0" applyFill="0" applyBorder="0">
      <alignment vertical="top"/>
      <protection locked="0"/>
    </xf>
    <xf numFmtId="0" fontId="12" fillId="0" borderId="0" applyFill="0" applyBorder="0">
      <alignment vertical="top" wrapText="1"/>
      <protection locked="0"/>
    </xf>
    <xf numFmtId="178" fontId="12" fillId="0" borderId="0" applyFill="0" applyBorder="0">
      <alignment vertical="top"/>
      <protection locked="0"/>
    </xf>
    <xf numFmtId="179" fontId="12" fillId="0" borderId="0" applyFill="0" applyBorder="0">
      <alignment vertical="top"/>
      <protection locked="0"/>
    </xf>
    <xf numFmtId="180" fontId="12" fillId="0" borderId="0" applyFill="0" applyBorder="0">
      <alignment vertical="top"/>
      <protection locked="0"/>
    </xf>
    <xf numFmtId="181" fontId="12" fillId="0" borderId="0" applyFill="0" applyBorder="0">
      <alignment vertical="top"/>
      <protection locked="0"/>
    </xf>
    <xf numFmtId="182" fontId="12" fillId="0" borderId="0" applyFill="0" applyBorder="0">
      <alignment vertical="top"/>
      <protection locked="0"/>
    </xf>
    <xf numFmtId="183" fontId="12" fillId="0" borderId="0" applyFill="0" applyBorder="0">
      <alignment vertical="top"/>
      <protection locked="0"/>
    </xf>
    <xf numFmtId="184" fontId="12" fillId="0" borderId="0" applyFill="0" applyBorder="0">
      <alignment vertical="top"/>
      <protection locked="0"/>
    </xf>
    <xf numFmtId="185" fontId="12" fillId="0" borderId="0" applyFill="0" applyBorder="0">
      <alignment vertical="top"/>
      <protection locked="0"/>
    </xf>
    <xf numFmtId="186" fontId="12" fillId="0" borderId="0" applyFill="0" applyBorder="0">
      <alignment vertical="top"/>
      <protection locked="0"/>
    </xf>
    <xf numFmtId="187" fontId="12" fillId="0" borderId="0" applyFill="0" applyBorder="0">
      <alignment vertical="top"/>
      <protection locked="0"/>
    </xf>
    <xf numFmtId="188" fontId="12" fillId="0" borderId="0" applyFill="0" applyBorder="0">
      <alignment vertical="top"/>
      <protection locked="0"/>
    </xf>
    <xf numFmtId="189" fontId="12" fillId="0" borderId="0" applyFill="0" applyBorder="0">
      <alignment vertical="top"/>
      <protection locked="0"/>
    </xf>
    <xf numFmtId="190" fontId="12" fillId="0" borderId="0" applyFill="0" applyBorder="0">
      <alignment vertical="top"/>
      <protection locked="0"/>
    </xf>
    <xf numFmtId="49" fontId="12" fillId="0" borderId="0" applyFill="0" applyBorder="0">
      <alignment horizontal="left" vertical="top"/>
      <protection locked="0"/>
    </xf>
    <xf numFmtId="49" fontId="12" fillId="0" borderId="0" applyFill="0" applyBorder="0">
      <alignment horizontal="left" vertical="top" indent="1"/>
      <protection locked="0"/>
    </xf>
    <xf numFmtId="49" fontId="12" fillId="0" borderId="0" applyFill="0" applyBorder="0">
      <alignment horizontal="left" vertical="top" indent="2"/>
      <protection locked="0"/>
    </xf>
    <xf numFmtId="49" fontId="12" fillId="0" borderId="0" applyFill="0" applyBorder="0">
      <alignment horizontal="left" vertical="top" indent="3"/>
      <protection locked="0"/>
    </xf>
    <xf numFmtId="49" fontId="12" fillId="0" borderId="0" applyFill="0" applyBorder="0">
      <alignment horizontal="left" vertical="top" indent="4"/>
      <protection locked="0"/>
    </xf>
    <xf numFmtId="49" fontId="12" fillId="0" borderId="0" applyFill="0" applyBorder="0">
      <alignment horizontal="center"/>
      <protection locked="0"/>
    </xf>
    <xf numFmtId="49" fontId="12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14" fillId="0" borderId="0" applyFill="0" applyBorder="0">
      <alignment vertical="top"/>
    </xf>
    <xf numFmtId="0" fontId="14" fillId="0" borderId="0" applyFill="0" applyBorder="0">
      <alignment horizontal="left" vertical="top" indent="1"/>
    </xf>
    <xf numFmtId="0" fontId="14" fillId="0" borderId="0" applyFill="0" applyBorder="0">
      <alignment horizontal="left" vertical="top" indent="2"/>
    </xf>
    <xf numFmtId="0" fontId="14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6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</cellStyleXfs>
  <cellXfs count="39">
    <xf numFmtId="0" fontId="0" fillId="0" borderId="0" xfId="0">
      <alignment vertical="top"/>
    </xf>
    <xf numFmtId="0" fontId="1" fillId="0" borderId="0" xfId="0" applyFont="1">
      <alignment vertical="top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4" fillId="0" borderId="0" xfId="0" applyFont="1">
      <alignment vertical="top"/>
    </xf>
    <xf numFmtId="0" fontId="8" fillId="3" borderId="1" xfId="30" applyFill="1" applyBorder="1">
      <alignment vertical="top"/>
    </xf>
    <xf numFmtId="0" fontId="0" fillId="3" borderId="2" xfId="0" applyFill="1" applyBorder="1">
      <alignment vertical="top"/>
    </xf>
    <xf numFmtId="0" fontId="0" fillId="3" borderId="3" xfId="0" applyFill="1" applyBorder="1">
      <alignment vertical="top"/>
    </xf>
    <xf numFmtId="0" fontId="8" fillId="3" borderId="4" xfId="30" applyFill="1" applyBorder="1">
      <alignment vertical="top"/>
    </xf>
    <xf numFmtId="0" fontId="0" fillId="3" borderId="0" xfId="0" applyFill="1" applyBorder="1">
      <alignment vertical="top"/>
    </xf>
    <xf numFmtId="0" fontId="0" fillId="3" borderId="5" xfId="0" applyFill="1" applyBorder="1">
      <alignment vertical="top"/>
    </xf>
    <xf numFmtId="0" fontId="5" fillId="3" borderId="4" xfId="89" applyFill="1" applyBorder="1">
      <alignment horizontal="left"/>
    </xf>
    <xf numFmtId="0" fontId="0" fillId="3" borderId="8" xfId="0" applyFill="1" applyBorder="1">
      <alignment vertical="top"/>
    </xf>
    <xf numFmtId="0" fontId="0" fillId="3" borderId="6" xfId="0" applyFill="1" applyBorder="1">
      <alignment vertical="top"/>
    </xf>
    <xf numFmtId="0" fontId="0" fillId="3" borderId="7" xfId="0" applyFill="1" applyBorder="1">
      <alignment vertical="top"/>
    </xf>
    <xf numFmtId="0" fontId="14" fillId="0" borderId="0" xfId="78">
      <alignment vertical="top"/>
    </xf>
    <xf numFmtId="0" fontId="5" fillId="0" borderId="0" xfId="83">
      <alignment horizontal="left" vertical="top" indent="1"/>
    </xf>
    <xf numFmtId="0" fontId="12" fillId="0" borderId="0" xfId="55">
      <alignment vertical="top" wrapText="1"/>
      <protection locked="0"/>
    </xf>
    <xf numFmtId="0" fontId="0" fillId="0" borderId="0" xfId="0" applyBorder="1">
      <alignment vertical="top"/>
    </xf>
    <xf numFmtId="0" fontId="5" fillId="0" borderId="0" xfId="84">
      <alignment horizontal="left" vertical="top" indent="2"/>
    </xf>
    <xf numFmtId="0" fontId="5" fillId="0" borderId="0" xfId="83" applyBorder="1">
      <alignment horizontal="left" vertical="top" indent="1"/>
    </xf>
    <xf numFmtId="0" fontId="14" fillId="0" borderId="0" xfId="79" applyBorder="1">
      <alignment horizontal="left" vertical="top" indent="1"/>
    </xf>
    <xf numFmtId="49" fontId="12" fillId="0" borderId="0" xfId="69">
      <alignment horizontal="left" vertical="top"/>
      <protection locked="0"/>
    </xf>
    <xf numFmtId="0" fontId="14" fillId="0" borderId="0" xfId="78" applyBorder="1">
      <alignment vertical="top"/>
    </xf>
    <xf numFmtId="0" fontId="14" fillId="0" borderId="0" xfId="80" applyBorder="1">
      <alignment horizontal="left" vertical="top" indent="2"/>
    </xf>
    <xf numFmtId="0" fontId="5" fillId="0" borderId="0" xfId="84" applyBorder="1">
      <alignment horizontal="left" vertical="top" indent="2"/>
    </xf>
    <xf numFmtId="0" fontId="0" fillId="0" borderId="0" xfId="0" applyFill="1" applyBorder="1">
      <alignment vertical="top"/>
    </xf>
    <xf numFmtId="0" fontId="14" fillId="0" borderId="0" xfId="79">
      <alignment horizontal="left" vertical="top" indent="1"/>
    </xf>
    <xf numFmtId="0" fontId="14" fillId="3" borderId="4" xfId="0" applyFont="1" applyFill="1" applyBorder="1">
      <alignment vertical="top"/>
    </xf>
    <xf numFmtId="0" fontId="14" fillId="3" borderId="8" xfId="0" applyFont="1" applyFill="1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5" fillId="0" borderId="4" xfId="0" applyFont="1" applyBorder="1">
      <alignment vertical="top"/>
    </xf>
    <xf numFmtId="170" fontId="12" fillId="0" borderId="5" xfId="43" applyBorder="1">
      <alignment vertical="top"/>
      <protection locked="0"/>
    </xf>
    <xf numFmtId="0" fontId="0" fillId="0" borderId="8" xfId="0" applyBorder="1">
      <alignment vertical="top"/>
    </xf>
    <xf numFmtId="0" fontId="0" fillId="0" borderId="7" xfId="0" applyBorder="1">
      <alignment vertical="top"/>
    </xf>
  </cellXfs>
  <cellStyles count="91">
    <cellStyle name="cc0 -CalComma" xfId="1" xr:uid="{C0B6A7BB-247D-4CCA-9758-6B0FCD6346F8}"/>
    <cellStyle name="cc0k -CalCommaThousand" xfId="2" xr:uid="{3E8AE043-488B-4B81-822F-BA7AB8183C7B}"/>
    <cellStyle name="cc0m -CalCommaMillion" xfId="3" xr:uid="{4D581ED9-7865-4AC4-A6D3-FA3C30C0AA16}"/>
    <cellStyle name="cc1 -CalComma" xfId="4" xr:uid="{C9F23A4A-7099-46C2-88DF-89C9B4E91A78}"/>
    <cellStyle name="cc2 -CalComma" xfId="5" xr:uid="{713E55AE-E6FA-4AB6-B859-56818E914380}"/>
    <cellStyle name="cc3 -CalComma" xfId="6" xr:uid="{154B0AFB-8F00-4D1B-9A5B-6E113F59A087}"/>
    <cellStyle name="cc4 -CalComma" xfId="7" xr:uid="{C704D1BC-B880-4135-958E-CCD01626EFE1}"/>
    <cellStyle name="cdDMM -CalDate" xfId="8" xr:uid="{F5D40543-7082-4377-9393-688A153EF46F}"/>
    <cellStyle name="cdDMMY -CalDate" xfId="9" xr:uid="{AB5794D1-DE06-4ACE-B8F6-C02970918C72}"/>
    <cellStyle name="cdDMMYHM -CalDateTime" xfId="10" xr:uid="{B89B999A-933A-4388-9AA0-F5EB23334FB3}"/>
    <cellStyle name="cdDMY -CalDate" xfId="11" xr:uid="{6608D15C-95CE-4883-B18F-1C60520C0C66}"/>
    <cellStyle name="cdMDY -CalDate" xfId="12" xr:uid="{FF1269FA-A90E-4470-8094-C18E787530D8}"/>
    <cellStyle name="cdMMY -CalDate" xfId="13" xr:uid="{8BE38DCC-8906-4F83-8728-196658A36945}"/>
    <cellStyle name="cdMMYc-CalDateC" xfId="14" xr:uid="{E5DCE775-4979-444E-A8D2-7334F2F2202B}"/>
    <cellStyle name="cf0 -CalFixed" xfId="15" xr:uid="{7D6F8CAC-95C5-4B53-8D45-98523B32FEF6}"/>
    <cellStyle name="cmHM  -CalTime" xfId="16" xr:uid="{BA726BB2-D508-4E05-9F40-C1AE503A92E0}"/>
    <cellStyle name="cmHM24+ -CalTime" xfId="17" xr:uid="{62079933-48C7-40A6-80F6-8AC733C6A7F1}"/>
    <cellStyle name="cp0 -CalPercent" xfId="18" xr:uid="{35AA1AA6-B679-4D82-B733-AD60BFB34494}"/>
    <cellStyle name="cp1 -CalPercent" xfId="19" xr:uid="{8CED4F14-EC4F-43E0-A281-1082E79A7F77}"/>
    <cellStyle name="cp2 -CalPercent" xfId="20" xr:uid="{5B2813D9-4B70-4FE1-BC77-C2E70BC97C10}"/>
    <cellStyle name="cp3 -CalPercent" xfId="21" xr:uid="{3FE7380A-DC30-406E-BDFD-90AF5294E00E}"/>
    <cellStyle name="cr0 -CalCurr" xfId="22" xr:uid="{39CE3114-535D-427D-A687-9B163A5D3BF7}"/>
    <cellStyle name="cr0k -CalCurrThousand" xfId="23" xr:uid="{7664B8DD-99D0-4E76-8625-6AE1CE5BCF2B}"/>
    <cellStyle name="cr0m -CalCurrMillion" xfId="24" xr:uid="{36F7A8E2-6510-43C8-8C5E-BCA4FB64BF84}"/>
    <cellStyle name="cr1 -CalCurr" xfId="25" xr:uid="{93D04CE5-24FB-40EE-A5A6-3A957C570F0B}"/>
    <cellStyle name="cr2 -CalCurr" xfId="26" xr:uid="{58B47674-9F8B-4828-8C9B-EDE50B84A1E4}"/>
    <cellStyle name="cr3 -CalCurr" xfId="27" xr:uid="{1FCF9094-861D-4755-B250-78B7AA8DB4EF}"/>
    <cellStyle name="cr4 -CalCurr" xfId="28" xr:uid="{B8226394-5164-438B-A773-B784004FAFEF}"/>
    <cellStyle name="h0 -Heading" xfId="29" xr:uid="{3A5D90AD-DCCC-4F98-B7FD-1B1791151C41}"/>
    <cellStyle name="h1 -Heading" xfId="30" xr:uid="{C182252F-25A9-4132-AED1-CB4AEFDDD55E}"/>
    <cellStyle name="h2 -Heading" xfId="31" xr:uid="{B1309DA8-CEFB-4502-B734-A6799B6BDFAE}"/>
    <cellStyle name="h3 -Heading" xfId="32" xr:uid="{84A255BF-90A9-4996-83E5-88132A158317}"/>
    <cellStyle name="hp0 -Hyperlink" xfId="33" xr:uid="{4891CE22-3D89-4508-A753-56F80F947762}"/>
    <cellStyle name="hp1 -Hyperlink" xfId="34" xr:uid="{F5F55A4A-FCD6-470E-9270-6B378D414B0F}"/>
    <cellStyle name="hp2 -Hyperlink" xfId="35" xr:uid="{09172E54-AA95-4DEF-802E-C8742369D976}"/>
    <cellStyle name="hp3 -Hyperlink" xfId="36" xr:uid="{DBC89308-EA1F-472B-81B6-0646D988A704}"/>
    <cellStyle name="ic0 -InpComma" xfId="37" xr:uid="{42E8E0F1-0CFC-4DEF-8F3D-638CCE4E8BB5}"/>
    <cellStyle name="ic0k -InpCommaThousand" xfId="38" xr:uid="{FF9402E4-B346-432C-B422-983938628581}"/>
    <cellStyle name="ic0m -InpCommaMillion" xfId="39" xr:uid="{BBB2AE85-9FE6-4851-983E-D96138EAEB51}"/>
    <cellStyle name="ic1 -InpComma" xfId="40" xr:uid="{6A2BE39F-1A47-421F-BD81-7396094C14BF}"/>
    <cellStyle name="ic2 -InpComma" xfId="41" xr:uid="{55E0BB4A-2906-4D83-A3E2-102627A19FE3}"/>
    <cellStyle name="ic3 -InpComma" xfId="42" xr:uid="{34CBD5D2-AD05-4746-AFF9-84F65CE7752B}"/>
    <cellStyle name="ic4 -InpComma" xfId="43" xr:uid="{640E0BC7-E12F-4160-B1AD-98B5C09D5056}"/>
    <cellStyle name="idDMM -InpDate" xfId="44" xr:uid="{5E98596D-B74C-4317-A8C2-87E005320B6C}"/>
    <cellStyle name="idDMMY -InpDate" xfId="45" xr:uid="{67B410BD-713A-4AA6-9BC9-AF2558AB0262}"/>
    <cellStyle name="idDMMYHM -InpDateTime" xfId="46" xr:uid="{96AE08A3-EA29-48AF-8173-276D3D8839BD}"/>
    <cellStyle name="idDMY -InpDate" xfId="47" xr:uid="{EEE69BDC-C4A7-4490-B0EB-A0A85216A9D1}"/>
    <cellStyle name="idMDY -InpDate" xfId="48" xr:uid="{7AF82F63-535A-45B7-BA2B-DB63432F9CDA}"/>
    <cellStyle name="idMMY -InpDate" xfId="49" xr:uid="{1EC1505D-D692-4B74-B6AF-024BF6A93AE5}"/>
    <cellStyle name="if0 -InpFixed" xfId="50" xr:uid="{136A7BFD-995B-48AD-9ED2-D8585C9CF1B5}"/>
    <cellStyle name="if0b-InpFixedB" xfId="51" xr:uid="{D7E5980A-804A-45AD-8AC8-9DBA4E1789D4}"/>
    <cellStyle name="if0-InpFixed" xfId="52" xr:uid="{8302F8FE-001D-4761-8F99-FCA012DB5284}"/>
    <cellStyle name="iln -InpTableTextNoWrap" xfId="53" xr:uid="{83F241FA-982E-4EE6-8A3A-4AAFA5F95079}"/>
    <cellStyle name="ilnb-InpTableTextNoWrapB" xfId="54" xr:uid="{DC89DF01-93B8-4FD4-953D-992912FE9996}"/>
    <cellStyle name="ilw -InpTableTextWrap" xfId="55" xr:uid="{E5772CAA-99A8-41BA-9A77-84151468CADE}"/>
    <cellStyle name="imHM  -InpTime" xfId="56" xr:uid="{B7251823-928A-4720-A520-C5069D0AE522}"/>
    <cellStyle name="imHM24+ -InpTime" xfId="57" xr:uid="{C3A5CCAA-13B2-4E15-BC05-2FD4BE51E757}"/>
    <cellStyle name="ip0 -InpPercent" xfId="58" xr:uid="{15F660FE-240D-45B2-B91C-0893D8E5CD91}"/>
    <cellStyle name="ip1 -InpPercent" xfId="59" xr:uid="{E2D2B934-88DB-4C26-833D-112BE5B8AC6D}"/>
    <cellStyle name="ip2 -InpPercent" xfId="60" xr:uid="{58E1FF96-E987-413F-8D4B-C6EE31B475C7}"/>
    <cellStyle name="ip3 -InpPercent" xfId="61" xr:uid="{DBC22BE2-71CE-4212-8B7F-220BD2CC50DE}"/>
    <cellStyle name="ir0 -InpCurr" xfId="62" xr:uid="{F5B50C4F-F9E5-4C4E-90B0-FC460D00C9FD}"/>
    <cellStyle name="ir0k -InpCurrThousand" xfId="63" xr:uid="{F49BCC4C-C940-4A99-AE96-56727A2B278B}"/>
    <cellStyle name="ir0m -InpCurrMillion" xfId="64" xr:uid="{27C3D443-18D7-4D2E-82EA-8F170985913A}"/>
    <cellStyle name="ir1 -InpCurr" xfId="65" xr:uid="{DF39BE4C-247D-4320-B88F-16C403D35F8A}"/>
    <cellStyle name="ir2 -InpCurr" xfId="66" xr:uid="{F2203D25-DC33-492E-9138-97E9563B909E}"/>
    <cellStyle name="ir3 -InpCurr" xfId="67" xr:uid="{BA6D9E9A-32AC-4881-9DDE-F827584FE9FD}"/>
    <cellStyle name="ir4 -InpCurr" xfId="68" xr:uid="{58E088BE-EFD5-4952-9726-DAF8D9C5B99A}"/>
    <cellStyle name="is0 -InpSideText" xfId="69" xr:uid="{D30F8FAC-0768-44B8-AB89-589CDF22A0BE}"/>
    <cellStyle name="is1 -InpSideText" xfId="70" xr:uid="{5A24ED9A-2B25-4A2F-A609-6773DF977F66}"/>
    <cellStyle name="is2 -InpSideText" xfId="71" xr:uid="{3D8522A1-BDED-4DE1-90B1-59318200E5C0}"/>
    <cellStyle name="is3 -InpSideText" xfId="72" xr:uid="{E5C994D3-3A5D-401C-9E15-A3DCFB75D7D9}"/>
    <cellStyle name="is4 -InpSideText" xfId="73" xr:uid="{A46BCB49-29F4-4FF2-9375-0CC631335B16}"/>
    <cellStyle name="itn -InpTopTextNoWrap" xfId="74" xr:uid="{842E500D-9F4E-43EE-A1B9-EEFB2392781A}"/>
    <cellStyle name="itw -InpTopTextWrap" xfId="75" xr:uid="{907EA312-1C52-4820-A139-19D0DAAFCB5F}"/>
    <cellStyle name="ltn -TableTextNoWrap" xfId="76" xr:uid="{FCA099DD-4CBA-48F6-8CA7-A4A8FF99411F}"/>
    <cellStyle name="ltw -TableTextWrap" xfId="77" xr:uid="{90D09966-D0AA-4D8E-9571-8059AC0D632F}"/>
    <cellStyle name="Normal" xfId="0" builtinId="0" customBuiltin="1"/>
    <cellStyle name="sh0 -SideHeading" xfId="78" xr:uid="{CA1FBA01-AC38-49BB-8657-BDD614FBC65E}"/>
    <cellStyle name="sh1 -SideHeading" xfId="79" xr:uid="{87BCA1EF-8BD1-4191-8E7F-5F0CD5EA68C7}"/>
    <cellStyle name="sh2 -SideHeading" xfId="80" xr:uid="{9E9E9861-8722-45D6-BA69-4CADBBA6FA80}"/>
    <cellStyle name="sh3 -SideHeading" xfId="81" xr:uid="{365D7EC4-344F-40C9-86FB-BB32B8B3E652}"/>
    <cellStyle name="st0 -SideText" xfId="82" xr:uid="{C43383AA-75F9-4E43-9698-5C8D48058FC7}"/>
    <cellStyle name="st1 -SideText" xfId="83" xr:uid="{F122C632-0137-4FFE-BCDE-633DD421D632}"/>
    <cellStyle name="st2 -SideText" xfId="84" xr:uid="{8F3EB81F-008B-4763-A8DF-42C4D1FD38E6}"/>
    <cellStyle name="st3 -SideText" xfId="85" xr:uid="{00A52C36-556D-410E-AADA-EB174F01404A}"/>
    <cellStyle name="st4 -SideText" xfId="86" xr:uid="{7B5F3F95-5DC9-4720-BF93-387950CA580D}"/>
    <cellStyle name="tdMMYc-TopDateC" xfId="87" xr:uid="{7FD087ED-3414-45FF-9B96-D85BD3B33F75}"/>
    <cellStyle name="ttn -TopTextNoWrap" xfId="88" xr:uid="{A3CC8F1E-DB8C-441F-A1A7-9B82630B6FAF}"/>
    <cellStyle name="ttnl -TopTextNoWrapL" xfId="89" xr:uid="{FE4BD80F-20D2-4A84-A31E-8FA4C93EC385}"/>
    <cellStyle name="ttw -TopTextWrap" xfId="90" xr:uid="{B164BBA1-A138-4582-A100-10601E38250E}"/>
  </cellStyles>
  <dxfs count="27"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</dxf>
  </dxfs>
  <tableStyles count="4" defaultTableStyle="ESPTable" defaultPivotStyle="ESPPivotTable">
    <tableStyle name="ESPPivotTable" table="0" count="11" xr9:uid="{08435F64-8317-4617-8A5E-BDBD3A7D7D99}">
      <tableStyleElement type="wholeTable" dxfId="19"/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  <tableStyle name="ESPSlicer" pivot="0" table="0" count="10" xr9:uid="{F9409313-72B9-4C46-9E7F-542859A3DF57}">
      <tableStyleElement type="wholeTable" dxfId="3"/>
      <tableStyleElement type="headerRow" dxfId="2"/>
    </tableStyle>
    <tableStyle name="ESPTable" pivot="0" count="5" xr9:uid="{DA620FD0-AC7D-47DB-B303-12DC13DE93E2}">
      <tableStyleElement type="wholeTable" dxfId="8"/>
      <tableStyleElement type="headerRow" dxfId="7"/>
      <tableStyleElement type="totalRow" dxfId="6"/>
      <tableStyleElement type="firstRowStripe" dxfId="5"/>
      <tableStyleElement type="firstColumnStripe" dxfId="4"/>
    </tableStyle>
    <tableStyle name="ESPTimeLine" pivot="0" table="0" count="9" xr9:uid="{256F2C7A-09C5-4EFF-94C8-B2D79335483B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</colors>
  <extLst>
    <ext xmlns:x14="http://schemas.microsoft.com/office/spreadsheetml/2009/9/main" uri="{46F421CA-312F-682f-3DD2-61675219B42D}">
      <x14:dxfs count="8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1533525</xdr:colOff>
      <xdr:row>24</xdr:row>
      <xdr:rowOff>0</xdr:rowOff>
    </xdr:from>
    <xdr:to>
      <xdr:col>2</xdr:col>
      <xdr:colOff>2514600</xdr:colOff>
      <xdr:row>26</xdr:row>
      <xdr:rowOff>114300</xdr:rowOff>
    </xdr:to>
    <xdr:sp macro="" textlink="">
      <xdr:nvSpPr>
        <xdr:cNvPr id="2" name="ESPFlowT5">
          <a:extLst>
            <a:ext uri="{FF2B5EF4-FFF2-40B4-BE49-F238E27FC236}">
              <a16:creationId xmlns:a16="http://schemas.microsoft.com/office/drawing/2014/main" id="{FFA089A0-536C-406D-BD4E-0D783379E3BA}"/>
            </a:ext>
          </a:extLst>
        </xdr:cNvPr>
        <xdr:cNvSpPr txBox="1">
          <a:spLocks noChangeArrowheads="1"/>
        </xdr:cNvSpPr>
      </xdr:nvSpPr>
      <xdr:spPr bwMode="auto">
        <a:xfrm>
          <a:off x="2838450" y="3552825"/>
          <a:ext cx="981075" cy="400050"/>
        </a:xfrm>
        <a:prstGeom prst="rect">
          <a:avLst/>
        </a:prstGeom>
        <a:solidFill>
          <a:srgbClr val="00B05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238125</xdr:colOff>
      <xdr:row>24</xdr:row>
      <xdr:rowOff>0</xdr:rowOff>
    </xdr:from>
    <xdr:to>
      <xdr:col>2</xdr:col>
      <xdr:colOff>1219200</xdr:colOff>
      <xdr:row>26</xdr:row>
      <xdr:rowOff>114300</xdr:rowOff>
    </xdr:to>
    <xdr:sp macro="" textlink="">
      <xdr:nvSpPr>
        <xdr:cNvPr id="3" name="ESPFlowT3">
          <a:extLst>
            <a:ext uri="{FF2B5EF4-FFF2-40B4-BE49-F238E27FC236}">
              <a16:creationId xmlns:a16="http://schemas.microsoft.com/office/drawing/2014/main" id="{A3596D71-8121-4D45-9DE3-53916FABCDCA}"/>
            </a:ext>
          </a:extLst>
        </xdr:cNvPr>
        <xdr:cNvSpPr txBox="1">
          <a:spLocks noChangeArrowheads="1"/>
        </xdr:cNvSpPr>
      </xdr:nvSpPr>
      <xdr:spPr bwMode="auto">
        <a:xfrm>
          <a:off x="1543050" y="3552825"/>
          <a:ext cx="981075" cy="400050"/>
        </a:xfrm>
        <a:prstGeom prst="rect">
          <a:avLst/>
        </a:prstGeom>
        <a:solidFill>
          <a:srgbClr val="C0BFB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20</xdr:row>
      <xdr:rowOff>0</xdr:rowOff>
    </xdr:from>
    <xdr:to>
      <xdr:col>1</xdr:col>
      <xdr:colOff>838200</xdr:colOff>
      <xdr:row>22</xdr:row>
      <xdr:rowOff>114300</xdr:rowOff>
    </xdr:to>
    <xdr:sp macro="" textlink="">
      <xdr:nvSpPr>
        <xdr:cNvPr id="4" name="ESPFlowT1">
          <a:extLst>
            <a:ext uri="{FF2B5EF4-FFF2-40B4-BE49-F238E27FC236}">
              <a16:creationId xmlns:a16="http://schemas.microsoft.com/office/drawing/2014/main" id="{E438A485-29B0-4E17-8423-528589587EE6}"/>
            </a:ext>
          </a:extLst>
        </xdr:cNvPr>
        <xdr:cNvSpPr txBox="1">
          <a:spLocks noChangeArrowheads="1"/>
        </xdr:cNvSpPr>
      </xdr:nvSpPr>
      <xdr:spPr bwMode="auto">
        <a:xfrm>
          <a:off x="257175" y="2981325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24</xdr:row>
      <xdr:rowOff>0</xdr:rowOff>
    </xdr:from>
    <xdr:to>
      <xdr:col>1</xdr:col>
      <xdr:colOff>838200</xdr:colOff>
      <xdr:row>26</xdr:row>
      <xdr:rowOff>114300</xdr:rowOff>
    </xdr:to>
    <xdr:sp macro="" textlink="">
      <xdr:nvSpPr>
        <xdr:cNvPr id="5" name="ESPFlowT2">
          <a:extLst>
            <a:ext uri="{FF2B5EF4-FFF2-40B4-BE49-F238E27FC236}">
              <a16:creationId xmlns:a16="http://schemas.microsoft.com/office/drawing/2014/main" id="{7F21C550-6B6A-4E0A-8F67-310391C22A68}"/>
            </a:ext>
          </a:extLst>
        </xdr:cNvPr>
        <xdr:cNvSpPr txBox="1">
          <a:spLocks noChangeArrowheads="1"/>
        </xdr:cNvSpPr>
      </xdr:nvSpPr>
      <xdr:spPr bwMode="auto">
        <a:xfrm>
          <a:off x="257175" y="3552825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1219200</xdr:colOff>
      <xdr:row>25</xdr:row>
      <xdr:rowOff>57150</xdr:rowOff>
    </xdr:from>
    <xdr:to>
      <xdr:col>2</xdr:col>
      <xdr:colOff>1533525</xdr:colOff>
      <xdr:row>25</xdr:row>
      <xdr:rowOff>57150</xdr:rowOff>
    </xdr:to>
    <xdr:cxnSp macro="">
      <xdr:nvCxnSpPr>
        <xdr:cNvPr id="6" name="ESPFlowA5">
          <a:extLst>
            <a:ext uri="{FF2B5EF4-FFF2-40B4-BE49-F238E27FC236}">
              <a16:creationId xmlns:a16="http://schemas.microsoft.com/office/drawing/2014/main" id="{E0DF6E88-F6A9-485C-BCE3-AC96E1C65129}"/>
            </a:ext>
          </a:extLst>
        </xdr:cNvPr>
        <xdr:cNvCxnSpPr>
          <a:cxnSpLocks noChangeShapeType="1"/>
          <a:stCxn id="2" idx="1"/>
          <a:endCxn id="3" idx="3"/>
        </xdr:cNvCxnSpPr>
      </xdr:nvCxnSpPr>
      <xdr:spPr bwMode="auto">
        <a:xfrm flipH="1">
          <a:off x="2524125" y="3752850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21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7" name="ESPFlowA3B">
          <a:extLst>
            <a:ext uri="{FF2B5EF4-FFF2-40B4-BE49-F238E27FC236}">
              <a16:creationId xmlns:a16="http://schemas.microsoft.com/office/drawing/2014/main" id="{9FEE4FAF-5E4D-47C7-9344-F2CA95068A32}"/>
            </a:ext>
          </a:extLst>
        </xdr:cNvPr>
        <xdr:cNvCxnSpPr>
          <a:cxnSpLocks noChangeShapeType="1"/>
          <a:stCxn id="3" idx="1"/>
          <a:endCxn id="4" idx="3"/>
        </xdr:cNvCxnSpPr>
      </xdr:nvCxnSpPr>
      <xdr:spPr bwMode="auto">
        <a:xfrm flipH="1" flipV="1">
          <a:off x="1238250" y="3181350"/>
          <a:ext cx="304800" cy="5715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25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8" name="ESPFlowA3">
          <a:extLst>
            <a:ext uri="{FF2B5EF4-FFF2-40B4-BE49-F238E27FC236}">
              <a16:creationId xmlns:a16="http://schemas.microsoft.com/office/drawing/2014/main" id="{9692AD71-55CE-4227-ABC4-2014AA2577F3}"/>
            </a:ext>
          </a:extLst>
        </xdr:cNvPr>
        <xdr:cNvCxnSpPr>
          <a:cxnSpLocks noChangeShapeType="1"/>
          <a:stCxn id="3" idx="1"/>
          <a:endCxn id="5" idx="3"/>
        </xdr:cNvCxnSpPr>
      </xdr:nvCxnSpPr>
      <xdr:spPr bwMode="auto">
        <a:xfrm flipH="1">
          <a:off x="1238250" y="3752850"/>
          <a:ext cx="3048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1533525</xdr:colOff>
      <xdr:row>20</xdr:row>
      <xdr:rowOff>0</xdr:rowOff>
    </xdr:from>
    <xdr:to>
      <xdr:col>2</xdr:col>
      <xdr:colOff>2514600</xdr:colOff>
      <xdr:row>22</xdr:row>
      <xdr:rowOff>114300</xdr:rowOff>
    </xdr:to>
    <xdr:sp macro="" textlink="">
      <xdr:nvSpPr>
        <xdr:cNvPr id="9" name="ESPFlowT4">
          <a:extLst>
            <a:ext uri="{FF2B5EF4-FFF2-40B4-BE49-F238E27FC236}">
              <a16:creationId xmlns:a16="http://schemas.microsoft.com/office/drawing/2014/main" id="{E719D3F6-AA6C-4870-90EA-74AE7D240D4E}"/>
            </a:ext>
          </a:extLst>
        </xdr:cNvPr>
        <xdr:cNvSpPr txBox="1">
          <a:spLocks noChangeArrowheads="1"/>
        </xdr:cNvSpPr>
      </xdr:nvSpPr>
      <xdr:spPr bwMode="auto">
        <a:xfrm>
          <a:off x="2838450" y="2981325"/>
          <a:ext cx="981075" cy="400050"/>
        </a:xfrm>
        <a:prstGeom prst="rect">
          <a:avLst/>
        </a:prstGeom>
        <a:solidFill>
          <a:srgbClr val="C4D69B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2514600</xdr:colOff>
      <xdr:row>25</xdr:row>
      <xdr:rowOff>57150</xdr:rowOff>
    </xdr:from>
    <xdr:to>
      <xdr:col>2</xdr:col>
      <xdr:colOff>2828925</xdr:colOff>
      <xdr:row>25</xdr:row>
      <xdr:rowOff>57150</xdr:rowOff>
    </xdr:to>
    <xdr:cxnSp macro="">
      <xdr:nvCxnSpPr>
        <xdr:cNvPr id="10" name="ESPFlowA6">
          <a:extLst>
            <a:ext uri="{FF2B5EF4-FFF2-40B4-BE49-F238E27FC236}">
              <a16:creationId xmlns:a16="http://schemas.microsoft.com/office/drawing/2014/main" id="{E9B9CF99-CE31-4540-AE68-7BF785E1CE76}"/>
            </a:ext>
          </a:extLst>
        </xdr:cNvPr>
        <xdr:cNvCxnSpPr>
          <a:cxnSpLocks noChangeShapeType="1"/>
          <a:stCxn id="12" idx="1"/>
          <a:endCxn id="2" idx="3"/>
        </xdr:cNvCxnSpPr>
      </xdr:nvCxnSpPr>
      <xdr:spPr bwMode="auto">
        <a:xfrm flipH="1">
          <a:off x="3819525" y="3752850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733425</xdr:colOff>
      <xdr:row>21</xdr:row>
      <xdr:rowOff>57150</xdr:rowOff>
    </xdr:from>
    <xdr:to>
      <xdr:col>2</xdr:col>
      <xdr:colOff>1533525</xdr:colOff>
      <xdr:row>24</xdr:row>
      <xdr:rowOff>0</xdr:rowOff>
    </xdr:to>
    <xdr:cxnSp macro="">
      <xdr:nvCxnSpPr>
        <xdr:cNvPr id="11" name="ESPFlowA4">
          <a:extLst>
            <a:ext uri="{FF2B5EF4-FFF2-40B4-BE49-F238E27FC236}">
              <a16:creationId xmlns:a16="http://schemas.microsoft.com/office/drawing/2014/main" id="{B293FEBC-4313-4D1B-A043-FFCCF31FC550}"/>
            </a:ext>
          </a:extLst>
        </xdr:cNvPr>
        <xdr:cNvCxnSpPr>
          <a:cxnSpLocks noChangeShapeType="1"/>
          <a:stCxn id="9" idx="1"/>
          <a:endCxn id="3" idx="0"/>
        </xdr:cNvCxnSpPr>
      </xdr:nvCxnSpPr>
      <xdr:spPr bwMode="auto">
        <a:xfrm flipH="1">
          <a:off x="2038350" y="3181350"/>
          <a:ext cx="800100" cy="37147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2828925</xdr:colOff>
      <xdr:row>24</xdr:row>
      <xdr:rowOff>0</xdr:rowOff>
    </xdr:from>
    <xdr:to>
      <xdr:col>2</xdr:col>
      <xdr:colOff>3810000</xdr:colOff>
      <xdr:row>26</xdr:row>
      <xdr:rowOff>114300</xdr:rowOff>
    </xdr:to>
    <xdr:sp macro="" textlink="">
      <xdr:nvSpPr>
        <xdr:cNvPr id="12" name="ESPFlowT6">
          <a:extLst>
            <a:ext uri="{FF2B5EF4-FFF2-40B4-BE49-F238E27FC236}">
              <a16:creationId xmlns:a16="http://schemas.microsoft.com/office/drawing/2014/main" id="{8482DAA4-2ED8-4FA4-A1F1-A7BB2B0619C5}"/>
            </a:ext>
          </a:extLst>
        </xdr:cNvPr>
        <xdr:cNvSpPr txBox="1">
          <a:spLocks noChangeArrowheads="1"/>
        </xdr:cNvSpPr>
      </xdr:nvSpPr>
      <xdr:spPr bwMode="auto">
        <a:xfrm>
          <a:off x="4133850" y="3552825"/>
          <a:ext cx="981075" cy="400050"/>
        </a:xfrm>
        <a:prstGeom prst="rect">
          <a:avLst/>
        </a:prstGeom>
        <a:solidFill>
          <a:srgbClr val="BDDE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SourceName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0</xdr:row>
      <xdr:rowOff>191434</xdr:rowOff>
    </xdr:from>
    <xdr:to>
      <xdr:col>0</xdr:col>
      <xdr:colOff>688975</xdr:colOff>
      <xdr:row>2</xdr:row>
      <xdr:rowOff>189940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82A40D18-213A-F713-F3F9-5BA3531C0FAB}"/>
            </a:ext>
          </a:extLst>
        </xdr:cNvPr>
        <xdr:cNvCxnSpPr/>
      </xdr:nvCxnSpPr>
      <xdr:spPr>
        <a:xfrm flipH="1">
          <a:off x="619125" y="191434"/>
          <a:ext cx="69850" cy="44674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79001</xdr:colOff>
      <xdr:row>0</xdr:row>
      <xdr:rowOff>42582</xdr:rowOff>
    </xdr:from>
    <xdr:to>
      <xdr:col>2</xdr:col>
      <xdr:colOff>358887</xdr:colOff>
      <xdr:row>0</xdr:row>
      <xdr:rowOff>201706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4A3BE4-91C7-682D-B4BB-CD7B87BFAAAE}"/>
            </a:ext>
          </a:extLst>
        </xdr:cNvPr>
        <xdr:cNvSpPr txBox="1"/>
      </xdr:nvSpPr>
      <xdr:spPr>
        <a:xfrm>
          <a:off x="79001" y="42582"/>
          <a:ext cx="1983180" cy="159124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=UNIQUE(dtbCommunities[Province])</a:t>
          </a:r>
        </a:p>
      </xdr:txBody>
    </xdr:sp>
    <xdr:clientData/>
  </xdr:twoCellAnchor>
  <xdr:twoCellAnchor>
    <xdr:from>
      <xdr:col>1</xdr:col>
      <xdr:colOff>166968</xdr:colOff>
      <xdr:row>0</xdr:row>
      <xdr:rowOff>209549</xdr:rowOff>
    </xdr:from>
    <xdr:to>
      <xdr:col>7</xdr:col>
      <xdr:colOff>538630</xdr:colOff>
      <xdr:row>1</xdr:row>
      <xdr:rowOff>156322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9B8BB6AA-A27A-62D7-B5F5-6436F32FB93A}"/>
            </a:ext>
          </a:extLst>
        </xdr:cNvPr>
        <xdr:cNvSpPr txBox="1"/>
      </xdr:nvSpPr>
      <xdr:spPr>
        <a:xfrm>
          <a:off x="1074644" y="209549"/>
          <a:ext cx="4786780" cy="170891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=TRANSPOSE(SORT(UNIQUE(FILTER(dtbCommunities[Island],dtbCommunities[Province]=A4))))</a:t>
          </a:r>
        </a:p>
      </xdr:txBody>
    </xdr:sp>
    <xdr:clientData/>
  </xdr:twoCellAnchor>
  <xdr:twoCellAnchor>
    <xdr:from>
      <xdr:col>1</xdr:col>
      <xdr:colOff>425824</xdr:colOff>
      <xdr:row>1</xdr:row>
      <xdr:rowOff>148291</xdr:rowOff>
    </xdr:from>
    <xdr:to>
      <xdr:col>1</xdr:col>
      <xdr:colOff>743324</xdr:colOff>
      <xdr:row>2</xdr:row>
      <xdr:rowOff>208990</xdr:rowOff>
    </xdr:to>
    <xdr:cxnSp macro="">
      <xdr:nvCxnSpPr>
        <xdr:cNvPr id="8" name="ESPTextArrowA1">
          <a:extLst>
            <a:ext uri="{FF2B5EF4-FFF2-40B4-BE49-F238E27FC236}">
              <a16:creationId xmlns:a16="http://schemas.microsoft.com/office/drawing/2014/main" id="{7547C986-CEB8-D343-6E6A-1934D285476D}"/>
            </a:ext>
          </a:extLst>
        </xdr:cNvPr>
        <xdr:cNvCxnSpPr/>
      </xdr:nvCxnSpPr>
      <xdr:spPr>
        <a:xfrm flipH="1">
          <a:off x="1333500" y="372409"/>
          <a:ext cx="317500" cy="28481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097090-85A8-45E6-8635-C35A7E0A3F13}" name="Table2" displayName="Table2" ref="A3:E6" totalsRowShown="0">
  <autoFilter ref="A3:E6" xr:uid="{89097090-85A8-45E6-8635-C35A7E0A3F13}"/>
  <tableColumns count="5">
    <tableColumn id="1" xr3:uid="{A3F66B68-F055-414A-BBE7-A5FBAB1BE0D3}" name="Province"/>
    <tableColumn id="2" xr3:uid="{CCDA5775-034D-4124-A0FC-EAA16EC09604}" name="Island"/>
    <tableColumn id="3" xr3:uid="{F0FE6730-0BFA-4BAE-9019-A6A39396DDFC}" name="Area Council"/>
    <tableColumn id="4" xr3:uid="{70203473-7EDC-4685-B126-7AC952C666DC}" name="Community"/>
    <tableColumn id="5" xr3:uid="{97563291-D71A-445A-9745-CC3D00C584C8}" name="Column5"/>
  </tableColumns>
  <tableStyleInfo name="ESP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484E55-B9B5-4EA7-8AD9-61C9C7770739}" name="dtbCommunities" displayName="dtbCommunities" ref="A3:E541" totalsRowShown="0" headerRowDxfId="26" dataDxfId="21">
  <autoFilter ref="A3:E541" xr:uid="{5F0223C2-7F79-6849-86DD-79F3F0715F6F}"/>
  <tableColumns count="5">
    <tableColumn id="1" xr3:uid="{FAEB4E45-E91A-4BDC-A293-4389DA7B6B5E}" name="Province" dataDxfId="25"/>
    <tableColumn id="2" xr3:uid="{356B8BFD-C994-47DE-80FD-08B24871AFA3}" name="Island" dataDxfId="24"/>
    <tableColumn id="3" xr3:uid="{CC31AF8A-C1C9-43FA-9DE5-1F7EF39592FB}" name="Area Council" dataDxfId="23"/>
    <tableColumn id="4" xr3:uid="{98D2370E-C21B-4920-BB47-7A47FBFA5F27}" name="Community" dataDxfId="22"/>
    <tableColumn id="5" xr3:uid="{036EA452-D893-45F8-A71E-C7B1E3A08EBA}" name="IslandAreaCouncil" dataDxfId="20">
      <calculatedColumnFormula>dtbCommunities[[#This Row],[Island]]&amp;"-"&amp;dtbCommunities[[#This Row],[Area Council]]</calculatedColumnFormula>
    </tableColumn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6B20-39D0-4347-BDD0-208A4F814AC4}">
  <sheetPr codeName="Sheet7">
    <tabColor indexed="12"/>
  </sheetPr>
  <dimension ref="A1:D37"/>
  <sheetViews>
    <sheetView workbookViewId="0">
      <pane ySplit="4" topLeftCell="A5" activePane="bottomLeft" state="frozen"/>
      <selection pane="bottomLeft" activeCell="C6" sqref="C6"/>
    </sheetView>
  </sheetViews>
  <sheetFormatPr defaultRowHeight="11.25" x14ac:dyDescent="0.2"/>
  <cols>
    <col min="1" max="1" width="7" customWidth="1"/>
    <col min="2" max="2" width="15.83203125" customWidth="1"/>
    <col min="3" max="3" width="96.5" customWidth="1"/>
    <col min="4" max="4" width="2.33203125" customWidth="1"/>
  </cols>
  <sheetData>
    <row r="1" spans="1:4" ht="15.75" x14ac:dyDescent="0.2">
      <c r="A1" s="8" t="s">
        <v>616</v>
      </c>
      <c r="B1" s="9"/>
      <c r="C1" s="9"/>
      <c r="D1" s="10"/>
    </row>
    <row r="2" spans="1:4" ht="15.75" x14ac:dyDescent="0.2">
      <c r="A2" s="11" t="str">
        <f>_xlfn.SINGLE(kAppName)</f>
        <v>Application name</v>
      </c>
      <c r="B2" s="12"/>
      <c r="C2" s="12"/>
      <c r="D2" s="13"/>
    </row>
    <row r="3" spans="1:4" x14ac:dyDescent="0.2">
      <c r="A3" s="14" t="str">
        <f>"Version " &amp;_xlfn.SINGLE( kVersion)</f>
        <v>Version 3-Aug-2025A</v>
      </c>
      <c r="B3" s="12"/>
      <c r="C3" s="12"/>
      <c r="D3" s="13"/>
    </row>
    <row r="4" spans="1:4" ht="12" thickBot="1" x14ac:dyDescent="0.25">
      <c r="A4" s="15" t="s">
        <v>617</v>
      </c>
      <c r="B4" s="16"/>
      <c r="C4" s="16"/>
      <c r="D4" s="17" t="s">
        <v>615</v>
      </c>
    </row>
    <row r="5" spans="1:4" x14ac:dyDescent="0.2">
      <c r="A5" s="18" t="s">
        <v>618</v>
      </c>
    </row>
    <row r="6" spans="1:4" x14ac:dyDescent="0.2">
      <c r="A6" s="19" t="s">
        <v>619</v>
      </c>
      <c r="C6" s="20"/>
    </row>
    <row r="7" spans="1:4" x14ac:dyDescent="0.2">
      <c r="A7" s="19" t="s">
        <v>620</v>
      </c>
      <c r="C7" s="20"/>
    </row>
    <row r="8" spans="1:4" x14ac:dyDescent="0.2">
      <c r="A8" s="19" t="s">
        <v>621</v>
      </c>
      <c r="C8" s="21" t="str">
        <f ca="1">SUBSTITUTE(LEFT(CELL("filename",C8),FIND("]",CELL("filename",C8))-1),"[","")</f>
        <v>C:\d\Mag\FreeTips\Tip1047\Locations.xlsm</v>
      </c>
    </row>
    <row r="9" spans="1:4" x14ac:dyDescent="0.2">
      <c r="A9" s="19" t="s">
        <v>622</v>
      </c>
      <c r="C9" t="str">
        <f>_xlfn.SINGLE(kVersion)</f>
        <v>3-Aug-2025A</v>
      </c>
    </row>
    <row r="10" spans="1:4" x14ac:dyDescent="0.2">
      <c r="A10" s="19" t="s">
        <v>623</v>
      </c>
      <c r="C10" t="s">
        <v>649</v>
      </c>
    </row>
    <row r="11" spans="1:4" x14ac:dyDescent="0.2">
      <c r="A11" s="19" t="s">
        <v>624</v>
      </c>
      <c r="C11" s="20" t="s">
        <v>625</v>
      </c>
    </row>
    <row r="12" spans="1:4" x14ac:dyDescent="0.2">
      <c r="A12" s="19" t="s">
        <v>626</v>
      </c>
      <c r="C12" s="20" t="s">
        <v>627</v>
      </c>
    </row>
    <row r="13" spans="1:4" x14ac:dyDescent="0.2">
      <c r="A13" s="19" t="s">
        <v>628</v>
      </c>
    </row>
    <row r="14" spans="1:4" x14ac:dyDescent="0.2">
      <c r="A14" s="22" t="s">
        <v>629</v>
      </c>
      <c r="C14" s="20" t="s">
        <v>630</v>
      </c>
    </row>
    <row r="15" spans="1:4" x14ac:dyDescent="0.2">
      <c r="A15" s="22" t="s">
        <v>631</v>
      </c>
      <c r="C15" s="20" t="s">
        <v>632</v>
      </c>
    </row>
    <row r="16" spans="1:4" x14ac:dyDescent="0.2">
      <c r="A16" s="22" t="s">
        <v>633</v>
      </c>
      <c r="C16" s="20" t="s">
        <v>634</v>
      </c>
    </row>
    <row r="17" spans="1:3" x14ac:dyDescent="0.2">
      <c r="A17" s="22" t="s">
        <v>635</v>
      </c>
      <c r="C17" s="20" t="s">
        <v>636</v>
      </c>
    </row>
    <row r="18" spans="1:3" x14ac:dyDescent="0.2">
      <c r="A18" s="22" t="s">
        <v>637</v>
      </c>
      <c r="C18" s="20" t="s">
        <v>638</v>
      </c>
    </row>
    <row r="19" spans="1:3" x14ac:dyDescent="0.2">
      <c r="A19" s="23" t="s">
        <v>639</v>
      </c>
      <c r="C19" s="20" t="s">
        <v>640</v>
      </c>
    </row>
    <row r="20" spans="1:3" x14ac:dyDescent="0.2">
      <c r="A20" s="24" t="s">
        <v>641</v>
      </c>
      <c r="C20" s="20"/>
    </row>
    <row r="21" spans="1:3" x14ac:dyDescent="0.2">
      <c r="A21" s="23"/>
      <c r="C21" s="25"/>
    </row>
    <row r="22" spans="1:3" x14ac:dyDescent="0.2">
      <c r="A22" s="23"/>
      <c r="C22" s="25"/>
    </row>
    <row r="23" spans="1:3" x14ac:dyDescent="0.2">
      <c r="A23" s="21"/>
    </row>
    <row r="24" spans="1:3" x14ac:dyDescent="0.2">
      <c r="C24" s="25"/>
    </row>
    <row r="25" spans="1:3" x14ac:dyDescent="0.2">
      <c r="C25" s="25"/>
    </row>
    <row r="26" spans="1:3" x14ac:dyDescent="0.2">
      <c r="C26" s="25"/>
    </row>
    <row r="27" spans="1:3" x14ac:dyDescent="0.2">
      <c r="C27" s="25"/>
    </row>
    <row r="28" spans="1:3" x14ac:dyDescent="0.2">
      <c r="C28" s="25"/>
    </row>
    <row r="29" spans="1:3" x14ac:dyDescent="0.2">
      <c r="A29" s="26" t="s">
        <v>642</v>
      </c>
      <c r="B29" s="21"/>
    </row>
    <row r="30" spans="1:3" x14ac:dyDescent="0.2">
      <c r="A30" s="24" t="s">
        <v>643</v>
      </c>
      <c r="B30" s="21"/>
    </row>
    <row r="31" spans="1:3" x14ac:dyDescent="0.2">
      <c r="A31" s="27" t="s">
        <v>644</v>
      </c>
      <c r="B31" s="21"/>
    </row>
    <row r="32" spans="1:3" x14ac:dyDescent="0.2">
      <c r="A32" s="28" t="s">
        <v>645</v>
      </c>
      <c r="B32" s="29"/>
      <c r="C32" s="21"/>
    </row>
    <row r="33" spans="1:3" x14ac:dyDescent="0.2">
      <c r="A33" s="28" t="s">
        <v>646</v>
      </c>
      <c r="B33" s="29"/>
      <c r="C33" s="21"/>
    </row>
    <row r="34" spans="1:3" x14ac:dyDescent="0.2">
      <c r="A34" s="30" t="s">
        <v>647</v>
      </c>
      <c r="B34" s="21"/>
      <c r="C34" s="21"/>
    </row>
    <row r="35" spans="1:3" x14ac:dyDescent="0.2">
      <c r="A35" s="27" t="s">
        <v>648</v>
      </c>
      <c r="B35" s="21"/>
      <c r="C35" s="21"/>
    </row>
    <row r="36" spans="1:3" x14ac:dyDescent="0.2">
      <c r="A36" s="28" t="s">
        <v>645</v>
      </c>
      <c r="B36" s="21"/>
      <c r="C36" s="21"/>
    </row>
    <row r="37" spans="1:3" x14ac:dyDescent="0.2">
      <c r="A37" s="28" t="s">
        <v>646</v>
      </c>
      <c r="B37" s="21"/>
      <c r="C37" s="21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8362-B949-42D3-A6F2-085368A815FD}">
  <sheetPr codeName="Sheet8">
    <tabColor rgb="FF818080"/>
  </sheetPr>
  <dimension ref="A1:B12"/>
  <sheetViews>
    <sheetView workbookViewId="0">
      <pane ySplit="4" topLeftCell="A5" activePane="bottomLeft" state="frozen"/>
      <selection pane="bottomLeft" activeCell="B6" sqref="B6"/>
    </sheetView>
  </sheetViews>
  <sheetFormatPr defaultColWidth="9.83203125" defaultRowHeight="11.25" x14ac:dyDescent="0.2"/>
  <cols>
    <col min="1" max="1" width="22" customWidth="1"/>
    <col min="2" max="2" width="19.83203125" customWidth="1"/>
  </cols>
  <sheetData>
    <row r="1" spans="1:2" ht="15.75" x14ac:dyDescent="0.2">
      <c r="A1" s="8" t="s">
        <v>650</v>
      </c>
      <c r="B1" s="10"/>
    </row>
    <row r="2" spans="1:2" ht="15.75" x14ac:dyDescent="0.2">
      <c r="A2" s="11" t="str">
        <f>kAppName</f>
        <v>Application name</v>
      </c>
      <c r="B2" s="13"/>
    </row>
    <row r="3" spans="1:2" x14ac:dyDescent="0.2">
      <c r="A3" s="31"/>
      <c r="B3" s="13"/>
    </row>
    <row r="4" spans="1:2" ht="12" thickBot="1" x14ac:dyDescent="0.25">
      <c r="A4" s="32"/>
      <c r="B4" s="17"/>
    </row>
    <row r="5" spans="1:2" x14ac:dyDescent="0.2">
      <c r="A5" s="33"/>
      <c r="B5" s="34"/>
    </row>
    <row r="6" spans="1:2" x14ac:dyDescent="0.2">
      <c r="A6" s="33" t="s">
        <v>651</v>
      </c>
      <c r="B6" s="34" t="s">
        <v>651</v>
      </c>
    </row>
    <row r="7" spans="1:2" x14ac:dyDescent="0.2">
      <c r="A7" s="35" t="s">
        <v>622</v>
      </c>
      <c r="B7" s="34" t="s">
        <v>658</v>
      </c>
    </row>
    <row r="8" spans="1:2" x14ac:dyDescent="0.2">
      <c r="A8" s="33" t="s">
        <v>652</v>
      </c>
      <c r="B8" s="34" t="s">
        <v>653</v>
      </c>
    </row>
    <row r="9" spans="1:2" x14ac:dyDescent="0.2">
      <c r="A9" s="33" t="s">
        <v>654</v>
      </c>
      <c r="B9" s="36">
        <v>1E-3</v>
      </c>
    </row>
    <row r="10" spans="1:2" x14ac:dyDescent="0.2">
      <c r="A10" s="33" t="s">
        <v>655</v>
      </c>
      <c r="B10" s="34" t="s">
        <v>656</v>
      </c>
    </row>
    <row r="11" spans="1:2" x14ac:dyDescent="0.2">
      <c r="A11" s="33" t="s">
        <v>657</v>
      </c>
      <c r="B11" s="34" t="str">
        <f ca="1">TEXT(NOW(),"d-mmm-yyyy h:mm AM/PM ")</f>
        <v xml:space="preserve">3-Aug-2025 11:17 am </v>
      </c>
    </row>
    <row r="12" spans="1:2" ht="6" customHeight="1" thickBot="1" x14ac:dyDescent="0.25">
      <c r="A12" s="37"/>
      <c r="B1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F4529-1903-4C53-A803-8D92F778E0AD}">
  <sheetPr codeName="Sheet3"/>
  <dimension ref="A3:E6"/>
  <sheetViews>
    <sheetView workbookViewId="0">
      <selection activeCell="B5" sqref="B5"/>
    </sheetView>
  </sheetViews>
  <sheetFormatPr defaultRowHeight="11.25" x14ac:dyDescent="0.2"/>
  <cols>
    <col min="1" max="2" width="12.5" customWidth="1"/>
    <col min="3" max="3" width="13.33203125" customWidth="1"/>
    <col min="4" max="4" width="12.5" customWidth="1"/>
    <col min="5" max="5" width="10.33203125" customWidth="1"/>
  </cols>
  <sheetData>
    <row r="3" spans="1:5" x14ac:dyDescent="0.2">
      <c r="A3" t="s">
        <v>24</v>
      </c>
      <c r="B3" t="s">
        <v>12</v>
      </c>
      <c r="C3" t="s">
        <v>25</v>
      </c>
      <c r="D3" t="s">
        <v>26</v>
      </c>
      <c r="E3" t="s">
        <v>614</v>
      </c>
    </row>
    <row r="4" spans="1:5" x14ac:dyDescent="0.2">
      <c r="A4" t="s">
        <v>79</v>
      </c>
      <c r="B4" t="s">
        <v>38</v>
      </c>
      <c r="C4" t="s">
        <v>20</v>
      </c>
      <c r="D4" t="s">
        <v>249</v>
      </c>
    </row>
    <row r="5" spans="1:5" x14ac:dyDescent="0.2">
      <c r="A5" t="s">
        <v>78</v>
      </c>
      <c r="B5" t="s">
        <v>35</v>
      </c>
      <c r="C5" t="s">
        <v>13</v>
      </c>
      <c r="D5" t="s">
        <v>597</v>
      </c>
    </row>
    <row r="6" spans="1:5" x14ac:dyDescent="0.2">
      <c r="A6" t="s">
        <v>83</v>
      </c>
      <c r="B6" t="s">
        <v>56</v>
      </c>
      <c r="C6" t="s">
        <v>22</v>
      </c>
      <c r="D6" t="s">
        <v>611</v>
      </c>
    </row>
  </sheetData>
  <dataValidations count="4">
    <dataValidation type="list" allowBlank="1" showInputMessage="1" showErrorMessage="1" sqref="B4:B6" xr:uid="{7C5B523E-B309-472A-B3B8-DD5EA54EEF16}">
      <formula1>_xlfn.ANCHORARRAY(_xlfn.XLOOKUP(A4,_xlfn.ANCHORARRAY(deProvince),OFFSET(_xlfn.ANCHORARRAY(deProvince),0,1)))</formula1>
    </dataValidation>
    <dataValidation type="list" allowBlank="1" showInputMessage="1" showErrorMessage="1" sqref="A4:A6" xr:uid="{81A50918-212B-40F7-B8A6-99AC36660219}">
      <formula1>_xlfn.ANCHORARRAY(deProvince)</formula1>
    </dataValidation>
    <dataValidation type="list" allowBlank="1" showInputMessage="1" showErrorMessage="1" sqref="C4:C6" xr:uid="{8FBB0FF7-3C92-4D17-AC9D-AB9B1A89ABF5}">
      <formula1>_xlfn.ANCHORARRAY(_xlfn.XLOOKUP(B4,_xlfn.ANCHORARRAY(deIsland),OFFSET(_xlfn.ANCHORARRAY(deIsland),0,1)))</formula1>
    </dataValidation>
    <dataValidation type="list" allowBlank="1" showInputMessage="1" showErrorMessage="1" sqref="D4:D6" xr:uid="{91A1AAAE-ED4B-42D8-9F98-E5A971A80D07}">
      <formula1>_xlfn.ANCHORARRAY(_xlfn.XLOOKUP(B4&amp;"-"&amp;C4,_xlfn.ANCHORARRAY(deIslandAreaCouncil),OFFSET(_xlfn.ANCHORARRAY(deIslandAreaCouncil),0,3)))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816C-0BC9-4BCF-A76A-44FE52FF8CFF}">
  <sheetPr codeName="Sheet4"/>
  <dimension ref="A2:J6"/>
  <sheetViews>
    <sheetView tabSelected="1" zoomScale="70" zoomScaleNormal="70" workbookViewId="0">
      <selection activeCell="B2" sqref="B2"/>
    </sheetView>
  </sheetViews>
  <sheetFormatPr defaultRowHeight="11.25" x14ac:dyDescent="0.2"/>
  <cols>
    <col min="1" max="1" width="17.83203125" bestFit="1" customWidth="1"/>
    <col min="2" max="2" width="13.1640625" customWidth="1"/>
    <col min="3" max="3" width="7.1640625" customWidth="1"/>
    <col min="4" max="4" width="12.83203125" bestFit="1" customWidth="1"/>
    <col min="5" max="5" width="14.1640625" bestFit="1" customWidth="1"/>
    <col min="6" max="6" width="11.5" bestFit="1" customWidth="1"/>
    <col min="7" max="7" width="10.83203125" bestFit="1" customWidth="1"/>
    <col min="8" max="8" width="8" bestFit="1" customWidth="1"/>
    <col min="9" max="9" width="14.83203125" bestFit="1" customWidth="1"/>
    <col min="10" max="10" width="10.33203125" bestFit="1" customWidth="1"/>
  </cols>
  <sheetData>
    <row r="2" spans="1:10" ht="18.75" x14ac:dyDescent="0.2">
      <c r="A2" s="2" t="s">
        <v>24</v>
      </c>
      <c r="B2" s="2" t="s">
        <v>79</v>
      </c>
      <c r="C2" s="2"/>
      <c r="D2" s="2"/>
      <c r="E2" s="2"/>
      <c r="F2" s="2"/>
      <c r="G2" s="2"/>
      <c r="H2" s="2"/>
      <c r="I2" s="2"/>
      <c r="J2" s="2"/>
    </row>
    <row r="3" spans="1:10" ht="18.75" x14ac:dyDescent="0.2">
      <c r="A3" s="2" t="s">
        <v>12</v>
      </c>
      <c r="B3" s="2" t="s">
        <v>38</v>
      </c>
      <c r="C3" s="2"/>
      <c r="D3" s="2" t="str" cm="1">
        <f t="array" aca="1" ref="D3:F3" ca="1">_xlfn.ANCHORARRAY(_xlfn.XLOOKUP(B2,_xlfn.ANCHORARRAY(deProvince),OFFSET(_xlfn.ANCHORARRAY(deProvince),0,1)))</f>
        <v>Ambea</v>
      </c>
      <c r="E3" s="2" t="str">
        <f ca="1"/>
        <v>Bentacast</v>
      </c>
      <c r="F3" s="2" t="str">
        <f ca="1"/>
        <v>Maiwo</v>
      </c>
      <c r="G3" s="2"/>
      <c r="H3" s="2"/>
      <c r="I3" s="2"/>
      <c r="J3" s="2"/>
    </row>
    <row r="4" spans="1:10" ht="18.75" x14ac:dyDescent="0.2">
      <c r="A4" s="2" t="s">
        <v>25</v>
      </c>
      <c r="B4" s="2" t="s">
        <v>20</v>
      </c>
      <c r="C4" s="2"/>
      <c r="D4" s="2" t="str" cm="1">
        <f t="array" aca="1" ref="D4:E4" ca="1">_xlfn.ANCHORARRAY(_xlfn.XLOOKUP(B3,_xlfn.ANCHORARRAY(deIsland),OFFSET(_xlfn.ANCHORARRAY(deIsland),0,1)))</f>
        <v>North</v>
      </c>
      <c r="E4" s="2" t="str">
        <f ca="1"/>
        <v>South</v>
      </c>
      <c r="F4" s="2"/>
      <c r="G4" s="2"/>
      <c r="H4" s="2"/>
      <c r="I4" s="2"/>
      <c r="J4" s="2"/>
    </row>
    <row r="5" spans="1:10" ht="18.75" x14ac:dyDescent="0.2">
      <c r="A5" s="2" t="s">
        <v>26</v>
      </c>
      <c r="B5" s="2" t="s">
        <v>249</v>
      </c>
      <c r="C5" s="2"/>
      <c r="D5" s="2" t="str" cm="1">
        <f t="array" aca="1" ref="D5:J5" ca="1">_xlfn.ANCHORARRAY(_xlfn.XLOOKUP(B3&amp;"-"&amp;B4,_xlfn.ANCHORARRAY(deIslandAreaCouncil),OFFSET(_xlfn.ANCHORARRAY(deIslandAreaCouncil),0,3)))</f>
        <v>Beturero</v>
      </c>
      <c r="E5" s="2" t="str">
        <f ca="1"/>
        <v>Guuiwo</v>
      </c>
      <c r="F5" s="2" t="str">
        <f ca="1"/>
        <v>Kiraboo</v>
      </c>
      <c r="G5" s="2" t="str">
        <f ca="1"/>
        <v>Marino</v>
      </c>
      <c r="H5" s="2" t="str">
        <f ca="1"/>
        <v>Naini</v>
      </c>
      <c r="I5" s="2" t="str">
        <f ca="1"/>
        <v>Neamome</v>
      </c>
      <c r="J5" s="2" t="str">
        <f ca="1"/>
        <v>Rembe</v>
      </c>
    </row>
    <row r="6" spans="1:10" ht="18.75" x14ac:dyDescent="0.2">
      <c r="A6" s="2"/>
      <c r="B6" s="2"/>
      <c r="C6" s="2"/>
      <c r="D6" s="2"/>
      <c r="E6" s="2"/>
      <c r="F6" s="2"/>
      <c r="G6" s="2"/>
      <c r="H6" s="2"/>
      <c r="I6" s="2"/>
      <c r="J6" s="2"/>
    </row>
  </sheetData>
  <dataValidations disablePrompts="1" count="4">
    <dataValidation type="list" allowBlank="1" showInputMessage="1" showErrorMessage="1" sqref="B2" xr:uid="{2C8F1F0D-ADFE-466D-BD0B-210F2288AA69}">
      <formula1>_xlfn.ANCHORARRAY(deProvince)</formula1>
    </dataValidation>
    <dataValidation type="list" allowBlank="1" showInputMessage="1" showErrorMessage="1" sqref="B3" xr:uid="{8BB67AE5-49EC-4A91-B28D-A4C92705A799}">
      <formula1>_xlfn.ANCHORARRAY(_xlfn.XLOOKUP(B2,_xlfn.ANCHORARRAY(deProvince),OFFSET(_xlfn.ANCHORARRAY(deProvince),0,1)))</formula1>
    </dataValidation>
    <dataValidation type="list" allowBlank="1" showInputMessage="1" showErrorMessage="1" sqref="B4" xr:uid="{219A4537-63E1-48AA-8EB7-F4AB40CB12EF}">
      <formula1>_xlfn.ANCHORARRAY(_xlfn.XLOOKUP(B3,_xlfn.ANCHORARRAY(deIsland),OFFSET(_xlfn.ANCHORARRAY(deIsland),0,1)))</formula1>
    </dataValidation>
    <dataValidation type="list" allowBlank="1" showInputMessage="1" showErrorMessage="1" sqref="B5" xr:uid="{81DAE56A-5934-4A6B-9C8B-22145EF254AF}">
      <formula1>_xlfn.ANCHORARRAY(_xlfn.XLOOKUP(B3&amp;"-"&amp;B4,_xlfn.ANCHORARRAY(deIslandAreaCouncil),OFFSET(_xlfn.ANCHORARRAY(deIslandAreaCouncil),0,3)))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8D58A-A9A1-4CEA-B683-927646BADDDD}">
  <sheetPr codeName="Sheet2"/>
  <dimension ref="A1:K18"/>
  <sheetViews>
    <sheetView zoomScale="85" zoomScaleNormal="85" workbookViewId="0">
      <selection activeCell="A4" sqref="A4"/>
    </sheetView>
  </sheetViews>
  <sheetFormatPr defaultColWidth="10.1640625" defaultRowHeight="11.25" x14ac:dyDescent="0.2"/>
  <cols>
    <col min="1" max="1" width="15.83203125" bestFit="1" customWidth="1"/>
    <col min="2" max="2" width="14" bestFit="1" customWidth="1"/>
    <col min="3" max="3" width="14.83203125" bestFit="1" customWidth="1"/>
    <col min="4" max="4" width="17" bestFit="1" customWidth="1"/>
    <col min="5" max="5" width="9.33203125" bestFit="1" customWidth="1"/>
    <col min="6" max="6" width="11.5" bestFit="1" customWidth="1"/>
    <col min="7" max="7" width="10.33203125" bestFit="1" customWidth="1"/>
    <col min="8" max="8" width="11" bestFit="1" customWidth="1"/>
    <col min="9" max="9" width="17.83203125" bestFit="1" customWidth="1"/>
    <col min="10" max="10" width="14.5" bestFit="1" customWidth="1"/>
    <col min="11" max="11" width="9.83203125" bestFit="1" customWidth="1"/>
  </cols>
  <sheetData>
    <row r="1" spans="1:11" ht="18" customHeight="1" x14ac:dyDescent="0.2"/>
    <row r="2" spans="1:11" ht="18" customHeight="1" x14ac:dyDescent="0.2"/>
    <row r="3" spans="1:11" ht="18.75" x14ac:dyDescent="0.3">
      <c r="A3" s="2" t="s">
        <v>24</v>
      </c>
      <c r="B3" s="2" t="s">
        <v>27</v>
      </c>
      <c r="C3" s="2"/>
      <c r="D3" s="2"/>
      <c r="E3" s="2"/>
      <c r="F3" s="2"/>
      <c r="G3" s="2"/>
      <c r="H3" s="2"/>
      <c r="I3" s="2"/>
      <c r="J3" s="2"/>
      <c r="K3" s="2"/>
    </row>
    <row r="4" spans="1:11" ht="18.75" x14ac:dyDescent="0.3">
      <c r="A4" s="2" t="str" cm="1">
        <f t="array" ref="A4:A9">_xlfn.UNIQUE(dtbCommunities[Province])</f>
        <v>Welhumpu</v>
      </c>
      <c r="B4" s="2" t="str" cm="1">
        <f t="array" ref="B4:D4">TRANSPOSE(_xlfn._xlws.SORT(_xlfn.UNIQUE(_xlfn._xlws.FILTER(dtbCommunities[Island],dtbCommunities[Province]=A4))))</f>
        <v>Embron</v>
      </c>
      <c r="C4" s="2" t="str">
        <v>Malokilo</v>
      </c>
      <c r="D4" s="2" t="str">
        <v>Piuma</v>
      </c>
      <c r="E4" s="2"/>
      <c r="F4" s="2"/>
      <c r="G4" s="2"/>
      <c r="H4" s="2"/>
      <c r="I4" s="2"/>
      <c r="J4" s="2"/>
      <c r="K4" s="2"/>
    </row>
    <row r="5" spans="1:11" ht="18.75" x14ac:dyDescent="0.3">
      <c r="A5" s="2" t="str">
        <v>Panmure</v>
      </c>
      <c r="B5" s="2" t="str" cm="1">
        <f t="array" ref="B5:D5">TRANSPOSE(_xlfn._xlws.SORT(_xlfn.UNIQUE(_xlfn._xlws.FILTER(dtbCommunities[Island],dtbCommunities[Province]=A5))))</f>
        <v>Ambea</v>
      </c>
      <c r="C5" s="2" t="str">
        <v>Bentacast</v>
      </c>
      <c r="D5" s="2" t="str">
        <v>Maiwo</v>
      </c>
      <c r="E5" s="2"/>
      <c r="F5" s="2"/>
      <c r="G5" s="2"/>
      <c r="H5" s="2"/>
      <c r="I5" s="2"/>
      <c r="J5" s="2"/>
      <c r="K5" s="2"/>
    </row>
    <row r="6" spans="1:11" ht="18.75" x14ac:dyDescent="0.3">
      <c r="A6" s="2" t="str">
        <v>Sinsit</v>
      </c>
      <c r="B6" s="2" t="str" cm="1">
        <f t="array" ref="B6:C6">TRANSPOSE(_xlfn._xlws.SORT(_xlfn.UNIQUE(_xlfn._xlws.FILTER(dtbCommunities[Island],dtbCommunities[Province]=A6))))</f>
        <v>Milu</v>
      </c>
      <c r="C6" s="2" t="str">
        <v>Santa</v>
      </c>
      <c r="D6" s="2"/>
      <c r="E6" s="2"/>
      <c r="F6" s="2"/>
      <c r="G6" s="2"/>
      <c r="H6" s="2"/>
      <c r="I6" s="2"/>
      <c r="J6" s="2"/>
      <c r="K6" s="2"/>
    </row>
    <row r="7" spans="1:11" ht="18.75" x14ac:dyDescent="0.3">
      <c r="A7" s="2" t="str">
        <v>Shafti</v>
      </c>
      <c r="B7" s="2" t="str" cm="1">
        <f t="array" ref="B7:K7">TRANSPOSE(_xlfn._xlws.SORT(_xlfn.UNIQUE(_xlfn._xlws.FILTER(dtbCommunities[Island],dtbCommunities[Province]=A7))))</f>
        <v>Efite</v>
      </c>
      <c r="C7" s="2" t="str">
        <v>Emao</v>
      </c>
      <c r="D7" s="2" t="str">
        <v>Emie</v>
      </c>
      <c r="E7" s="2" t="str">
        <v>Eros</v>
      </c>
      <c r="F7" s="2" t="str">
        <v>Makura</v>
      </c>
      <c r="G7" s="2" t="str">
        <v>Mitesu</v>
      </c>
      <c r="H7" s="2" t="str">
        <v>Ngone</v>
      </c>
      <c r="I7" s="2" t="str">
        <v>Pili</v>
      </c>
      <c r="J7" s="2" t="str">
        <v>Tangoruki</v>
      </c>
      <c r="K7" s="2" t="str">
        <v>Tengai</v>
      </c>
    </row>
    <row r="8" spans="1:11" ht="18.75" x14ac:dyDescent="0.3">
      <c r="A8" s="2" t="str">
        <v>Tiftafe</v>
      </c>
      <c r="B8" s="2" t="str" cm="1">
        <f t="array" ref="B8:F8">TRANSPOSE(_xlfn._xlws.SORT(_xlfn.UNIQUE(_xlfn._xlws.FILTER(dtbCommunities[Island],dtbCommunities[Province]=A8))))</f>
        <v>Anawi</v>
      </c>
      <c r="C8" s="2" t="str">
        <v>Anoetyam</v>
      </c>
      <c r="D8" s="2" t="str">
        <v>Errormenge</v>
      </c>
      <c r="E8" s="2" t="str">
        <v>Fitene</v>
      </c>
      <c r="F8" s="2" t="str">
        <v>Tanne</v>
      </c>
      <c r="G8" s="2"/>
      <c r="H8" s="2"/>
      <c r="I8" s="2"/>
      <c r="J8" s="2"/>
      <c r="K8" s="2"/>
    </row>
    <row r="9" spans="1:11" ht="18.75" x14ac:dyDescent="0.3">
      <c r="A9" s="2" t="str">
        <v>Morbeed</v>
      </c>
      <c r="B9" s="2" t="str" cm="1">
        <f t="array" ref="B9:J9">TRANSPOSE(_xlfn._xlws.SORT(_xlfn.UNIQUE(_xlfn._xlws.FILTER(dtbCommunities[Island],dtbCommunities[Province]=A9))))</f>
        <v>Cote Slavi</v>
      </c>
      <c r="C9" s="2" t="str">
        <v>Gases</v>
      </c>
      <c r="D9" s="2" t="str">
        <v>Heu</v>
      </c>
      <c r="E9" s="2" t="str">
        <v>Lih</v>
      </c>
      <c r="F9" s="2" t="str">
        <v xml:space="preserve">Meta </v>
      </c>
      <c r="G9" s="2" t="str">
        <v>Tiga</v>
      </c>
      <c r="H9" s="2" t="str">
        <v>Tongue</v>
      </c>
      <c r="I9" s="2" t="str">
        <v>Uropiruparu</v>
      </c>
      <c r="J9" s="2" t="str">
        <v>Vinuilivu</v>
      </c>
      <c r="K9" s="2"/>
    </row>
    <row r="10" spans="1:11" ht="18.75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3" spans="1:11" x14ac:dyDescent="0.2">
      <c r="A13" t="str" cm="1">
        <f t="array" ref="A13:A18">_xlfn.UNIQUE(dtbCommunities[Province])</f>
        <v>Welhumpu</v>
      </c>
      <c r="B13" t="e" cm="1" vm="1">
        <f t="array" ref="B13">_xlfn.BYROW(_xlfn.ANCHORARRAY(A13),_xlfn.LAMBDA(_xlpm.p,TRANSPOSE(_xlfn._xlws.FILTER(dtbCommunities[Island],dtbCommunities[Province]=_xlpm.p))))</f>
        <v>#VALUE!</v>
      </c>
    </row>
    <row r="14" spans="1:11" x14ac:dyDescent="0.2">
      <c r="A14" t="str">
        <v>Panmure</v>
      </c>
    </row>
    <row r="15" spans="1:11" x14ac:dyDescent="0.2">
      <c r="A15" t="str">
        <v>Sinsit</v>
      </c>
    </row>
    <row r="16" spans="1:11" x14ac:dyDescent="0.2">
      <c r="A16" t="str">
        <v>Shafti</v>
      </c>
    </row>
    <row r="17" spans="1:1" x14ac:dyDescent="0.2">
      <c r="A17" t="str">
        <v>Tiftafe</v>
      </c>
    </row>
    <row r="18" spans="1:1" x14ac:dyDescent="0.2">
      <c r="A18" t="str">
        <v>Morbeed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4D195-6EA8-4B58-AD89-DD5CAA29510A}">
  <sheetPr codeName="Sheet5"/>
  <dimension ref="A2:K34"/>
  <sheetViews>
    <sheetView workbookViewId="0">
      <selection activeCell="A8" sqref="A8"/>
    </sheetView>
  </sheetViews>
  <sheetFormatPr defaultColWidth="10.6640625" defaultRowHeight="11.25" x14ac:dyDescent="0.2"/>
  <cols>
    <col min="1" max="1" width="11.1640625" customWidth="1"/>
    <col min="2" max="2" width="16.83203125" customWidth="1"/>
    <col min="3" max="3" width="11.5" customWidth="1"/>
    <col min="4" max="4" width="12.5" customWidth="1"/>
    <col min="5" max="5" width="10.1640625" customWidth="1"/>
    <col min="6" max="6" width="11.5" customWidth="1"/>
    <col min="7" max="7" width="12.5" customWidth="1"/>
    <col min="8" max="8" width="12.1640625" customWidth="1"/>
    <col min="9" max="9" width="7.33203125" customWidth="1"/>
  </cols>
  <sheetData>
    <row r="2" spans="1:11" ht="18.75" x14ac:dyDescent="0.3">
      <c r="A2" s="2" t="s">
        <v>12</v>
      </c>
      <c r="B2" s="2" t="s">
        <v>28</v>
      </c>
      <c r="C2" s="2"/>
      <c r="D2" s="2"/>
      <c r="E2" s="2"/>
      <c r="F2" s="2"/>
      <c r="G2" s="2"/>
      <c r="H2" s="2"/>
      <c r="I2" s="2"/>
      <c r="J2" s="2"/>
      <c r="K2" s="2"/>
    </row>
    <row r="3" spans="1:11" ht="18.75" x14ac:dyDescent="0.3">
      <c r="A3" s="2" t="str" cm="1">
        <f t="array" ref="A3:A34">_xlfn.UNIQUE(dtbCommunities[Island])</f>
        <v>Malokilo</v>
      </c>
      <c r="B3" s="2" t="str" cm="1">
        <f t="array" ref="B3:G3">TRANSPOSE(_xlfn._xlws.SORT(_xlfn.UNIQUE(_xlfn._xlws.FILTER(dtbCommunities[Area Council],dtbCommunities[Island]=A3))))</f>
        <v>Central</v>
      </c>
      <c r="C3" s="2" t="str">
        <v>North East</v>
      </c>
      <c r="D3" s="2" t="str">
        <v>North West</v>
      </c>
      <c r="E3" s="2" t="str">
        <v>South</v>
      </c>
      <c r="F3" s="2" t="str">
        <v>South East</v>
      </c>
      <c r="G3" s="2" t="str">
        <v>South West</v>
      </c>
      <c r="H3" s="2"/>
      <c r="I3" s="2"/>
      <c r="J3" s="2"/>
      <c r="K3" s="2"/>
    </row>
    <row r="4" spans="1:11" ht="18.75" x14ac:dyDescent="0.3">
      <c r="A4" s="2" t="str">
        <v>Embron</v>
      </c>
      <c r="B4" s="2" t="str" cm="1">
        <f t="array" ref="B4:D4">TRANSPOSE(_xlfn._xlws.SORT(_xlfn.UNIQUE(_xlfn._xlws.FILTER(dtbCommunities[Area Council],dtbCommunities[Island]=A4))))</f>
        <v>North</v>
      </c>
      <c r="C4" s="2" t="str">
        <v>South East</v>
      </c>
      <c r="D4" s="2" t="str">
        <v>West</v>
      </c>
      <c r="E4" s="2"/>
      <c r="F4" s="2"/>
      <c r="G4" s="2"/>
      <c r="H4" s="2"/>
      <c r="I4" s="2"/>
      <c r="J4" s="2"/>
      <c r="K4" s="2"/>
    </row>
    <row r="5" spans="1:11" ht="18.75" x14ac:dyDescent="0.3">
      <c r="A5" s="2" t="str">
        <v>Piuma</v>
      </c>
      <c r="B5" s="2" t="str" cm="1">
        <f t="array" ref="B5">TRANSPOSE(_xlfn._xlws.SORT(_xlfn.UNIQUE(_xlfn._xlws.FILTER(dtbCommunities[Area Council],dtbCommunities[Island]=A5))))</f>
        <v>Piemo</v>
      </c>
      <c r="C5" s="2"/>
      <c r="D5" s="2"/>
      <c r="E5" s="2"/>
      <c r="F5" s="2"/>
      <c r="G5" s="2"/>
      <c r="H5" s="2"/>
      <c r="I5" s="2"/>
      <c r="J5" s="2"/>
      <c r="K5" s="2"/>
    </row>
    <row r="6" spans="1:11" ht="18.75" x14ac:dyDescent="0.3">
      <c r="A6" s="2" t="str">
        <v>Bentacast</v>
      </c>
      <c r="B6" s="2" t="str" cm="1">
        <f t="array" ref="B6:D6">TRANSPOSE(_xlfn._xlws.SORT(_xlfn.UNIQUE(_xlfn._xlws.FILTER(dtbCommunities[Area Council],dtbCommunities[Island]=A6))))</f>
        <v>Central</v>
      </c>
      <c r="C6" s="2" t="str">
        <v>North</v>
      </c>
      <c r="D6" s="2" t="str">
        <v>South</v>
      </c>
      <c r="E6" s="2"/>
      <c r="F6" s="2"/>
      <c r="G6" s="2"/>
      <c r="H6" s="2"/>
      <c r="I6" s="2"/>
      <c r="J6" s="2"/>
      <c r="K6" s="2"/>
    </row>
    <row r="7" spans="1:11" ht="18.75" x14ac:dyDescent="0.3">
      <c r="A7" s="2" t="str">
        <v>Ambea</v>
      </c>
      <c r="B7" s="2" t="str" cm="1">
        <f t="array" ref="B7:E7">TRANSPOSE(_xlfn._xlws.SORT(_xlfn.UNIQUE(_xlfn._xlws.FILTER(dtbCommunities[Area Council],dtbCommunities[Island]=A7))))</f>
        <v>East</v>
      </c>
      <c r="C7" s="2" t="str">
        <v>North</v>
      </c>
      <c r="D7" s="2" t="str">
        <v>South</v>
      </c>
      <c r="E7" s="2" t="str">
        <v>West</v>
      </c>
      <c r="F7" s="2"/>
      <c r="G7" s="2"/>
      <c r="H7" s="2"/>
      <c r="I7" s="2"/>
      <c r="J7" s="2"/>
      <c r="K7" s="2"/>
    </row>
    <row r="8" spans="1:11" ht="18.75" x14ac:dyDescent="0.3">
      <c r="A8" s="2" t="str">
        <v>Maiwo</v>
      </c>
      <c r="B8" s="2" t="str" cm="1">
        <f t="array" ref="B8:C8">TRANSPOSE(_xlfn._xlws.SORT(_xlfn.UNIQUE(_xlfn._xlws.FILTER(dtbCommunities[Area Council],dtbCommunities[Island]=A8))))</f>
        <v>North</v>
      </c>
      <c r="C8" s="2" t="str">
        <v>South</v>
      </c>
      <c r="D8" s="2"/>
      <c r="E8" s="2"/>
      <c r="F8" s="2"/>
      <c r="G8" s="2"/>
      <c r="H8" s="2"/>
      <c r="I8" s="2"/>
      <c r="J8" s="2"/>
      <c r="K8" s="2"/>
    </row>
    <row r="9" spans="1:11" ht="18.75" x14ac:dyDescent="0.3">
      <c r="A9" s="2" t="str">
        <v>Milu</v>
      </c>
      <c r="B9" s="2" t="str" cm="1">
        <f t="array" ref="B9:C9">TRANSPOSE(_xlfn._xlws.SORT(_xlfn.UNIQUE(_xlfn._xlws.FILTER(dtbCommunities[Area Council],dtbCommunities[Island]=A9))))</f>
        <v>East</v>
      </c>
      <c r="C9" s="2" t="str">
        <v>West</v>
      </c>
      <c r="D9" s="2"/>
      <c r="E9" s="2"/>
      <c r="F9" s="2"/>
      <c r="G9" s="2"/>
      <c r="H9" s="2"/>
      <c r="I9" s="2"/>
      <c r="J9" s="2"/>
      <c r="K9" s="2"/>
    </row>
    <row r="10" spans="1:11" ht="18.75" x14ac:dyDescent="0.3">
      <c r="A10" s="7" t="str">
        <v>Santa</v>
      </c>
      <c r="B10" s="2" t="str" cm="1">
        <f t="array" ref="B10:G10">TRANSPOSE(_xlfn._xlws.SORT(_xlfn.UNIQUE(_xlfn._xlws.FILTER(dtbCommunities[Area Council],dtbCommunities[Island]=A10))))</f>
        <v>East</v>
      </c>
      <c r="C10" s="7" t="str">
        <v>North</v>
      </c>
      <c r="D10" s="7" t="str">
        <v>North West</v>
      </c>
      <c r="E10" s="7" t="str">
        <v>South</v>
      </c>
      <c r="F10" s="7" t="str">
        <v>South East</v>
      </c>
      <c r="G10" s="7" t="str">
        <v>West</v>
      </c>
      <c r="H10" s="7"/>
      <c r="I10" s="7"/>
    </row>
    <row r="11" spans="1:11" ht="18.75" x14ac:dyDescent="0.3">
      <c r="A11" s="7" t="str">
        <v>Eros</v>
      </c>
      <c r="B11" s="2" t="str" cm="1">
        <f t="array" ref="B11:E11">TRANSPOSE(_xlfn._xlws.SORT(_xlfn.UNIQUE(_xlfn._xlws.FILTER(dtbCommunities[Area Council],dtbCommunities[Island]=A11))))</f>
        <v>Varmaol</v>
      </c>
      <c r="C11" s="7" t="str">
        <v>Vermele</v>
      </c>
      <c r="D11" s="7" t="str">
        <v>Virse</v>
      </c>
      <c r="E11" s="7" t="str">
        <v>Yorso</v>
      </c>
      <c r="F11" s="7"/>
      <c r="G11" s="7"/>
      <c r="H11" s="7"/>
      <c r="I11" s="7"/>
    </row>
    <row r="12" spans="1:11" ht="18.75" x14ac:dyDescent="0.3">
      <c r="A12" s="7" t="str">
        <v>Efite</v>
      </c>
      <c r="B12" s="2" t="str" cm="1">
        <f t="array" ref="B12:I12">TRANSPOSE(_xlfn._xlws.SORT(_xlfn.UNIQUE(_xlfn._xlws.FILTER(dtbCommunities[Area Council],dtbCommunities[Island]=A12))))</f>
        <v>East</v>
      </c>
      <c r="C12" s="7" t="str">
        <v>Eritap</v>
      </c>
      <c r="D12" s="7" t="str">
        <v>Erokor</v>
      </c>
      <c r="E12" s="7" t="str">
        <v>Iferi</v>
      </c>
      <c r="F12" s="7" t="str">
        <v>Mali</v>
      </c>
      <c r="G12" s="7" t="str">
        <v>North</v>
      </c>
      <c r="H12" s="7" t="str">
        <v>North West</v>
      </c>
      <c r="I12" s="7" t="str">
        <v>Pengu</v>
      </c>
    </row>
    <row r="13" spans="1:11" ht="18.75" x14ac:dyDescent="0.3">
      <c r="A13" s="7" t="str">
        <v>Tangoruki</v>
      </c>
      <c r="B13" s="2" t="str" cm="1">
        <f t="array" ref="B13">TRANSPOSE(_xlfn._xlws.SORT(_xlfn.UNIQUE(_xlfn._xlws.FILTER(dtbCommunities[Area Council],dtbCommunities[Island]=A13))))</f>
        <v>Tengireku</v>
      </c>
      <c r="C13" s="7"/>
      <c r="D13" s="7"/>
      <c r="E13" s="7"/>
      <c r="F13" s="7"/>
      <c r="G13" s="7"/>
      <c r="H13" s="7"/>
      <c r="I13" s="7"/>
    </row>
    <row r="14" spans="1:11" ht="18.75" x14ac:dyDescent="0.3">
      <c r="A14" s="7" t="str">
        <v>Emao</v>
      </c>
      <c r="B14" s="2" t="str" cm="1">
        <f t="array" ref="B14">TRANSPOSE(_xlfn._xlws.SORT(_xlfn.UNIQUE(_xlfn._xlws.FILTER(dtbCommunities[Area Council],dtbCommunities[Island]=A14))))</f>
        <v>Makumeu</v>
      </c>
      <c r="C14" s="7"/>
      <c r="D14" s="7"/>
      <c r="E14" s="7"/>
      <c r="F14" s="7"/>
      <c r="G14" s="7"/>
      <c r="H14" s="7"/>
      <c r="I14" s="7"/>
    </row>
    <row r="15" spans="1:11" ht="18.75" x14ac:dyDescent="0.3">
      <c r="A15" s="7" t="str">
        <v>Pili</v>
      </c>
      <c r="B15" s="2" t="str" cm="1">
        <f t="array" ref="B15">TRANSPOSE(_xlfn._xlws.SORT(_xlfn.UNIQUE(_xlfn._xlws.FILTER(dtbCommunities[Area Council],dtbCommunities[Island]=A15))))</f>
        <v>Ngana &amp; Pala</v>
      </c>
      <c r="C15" s="7"/>
      <c r="D15" s="7"/>
      <c r="E15" s="7"/>
      <c r="F15" s="7"/>
      <c r="G15" s="7"/>
      <c r="H15" s="7"/>
      <c r="I15" s="7"/>
    </row>
    <row r="16" spans="1:11" ht="18.75" x14ac:dyDescent="0.3">
      <c r="A16" s="7" t="str">
        <v>Emie</v>
      </c>
      <c r="B16" s="2" t="str" cm="1">
        <f t="array" ref="B16">TRANSPOSE(_xlfn._xlws.SORT(_xlfn.UNIQUE(_xlfn._xlws.FILTER(dtbCommunities[Area Council],dtbCommunities[Island]=A16))))</f>
        <v>Emoi</v>
      </c>
      <c r="C16" s="7"/>
      <c r="D16" s="7"/>
      <c r="E16" s="7"/>
      <c r="F16" s="7"/>
      <c r="G16" s="7"/>
      <c r="H16" s="7"/>
      <c r="I16" s="7"/>
    </row>
    <row r="17" spans="1:9" ht="18.75" x14ac:dyDescent="0.3">
      <c r="A17" s="7" t="str">
        <v>Tengai</v>
      </c>
      <c r="B17" s="2" t="str" cm="1">
        <f t="array" ref="B17">TRANSPOSE(_xlfn._xlws.SORT(_xlfn.UNIQUE(_xlfn._xlws.FILTER(dtbCommunities[Area Council],dtbCommunities[Island]=A17))))</f>
        <v>Tingoo</v>
      </c>
      <c r="C17" s="7"/>
      <c r="D17" s="7"/>
      <c r="E17" s="7"/>
      <c r="F17" s="7"/>
      <c r="G17" s="7"/>
      <c r="H17" s="7"/>
      <c r="I17" s="7"/>
    </row>
    <row r="18" spans="1:9" ht="18.75" x14ac:dyDescent="0.3">
      <c r="A18" s="7" t="str">
        <v>Makura</v>
      </c>
      <c r="B18" s="2" t="str" cm="1">
        <f t="array" ref="B18">TRANSPOSE(_xlfn._xlws.SORT(_xlfn.UNIQUE(_xlfn._xlws.FILTER(dtbCommunities[Area Council],dtbCommunities[Island]=A18))))</f>
        <v>Makumeu</v>
      </c>
      <c r="C18" s="7"/>
      <c r="D18" s="7"/>
      <c r="E18" s="7"/>
      <c r="F18" s="7"/>
      <c r="G18" s="7"/>
      <c r="H18" s="7"/>
      <c r="I18" s="7"/>
    </row>
    <row r="19" spans="1:9" ht="18.75" x14ac:dyDescent="0.3">
      <c r="A19" s="7" t="str">
        <v>Mitesu</v>
      </c>
      <c r="B19" s="2" t="str" cm="1">
        <f t="array" ref="B19">TRANSPOSE(_xlfn._xlws.SORT(_xlfn.UNIQUE(_xlfn._xlws.FILTER(dtbCommunities[Area Council],dtbCommunities[Island]=A19))))</f>
        <v>Makumeu</v>
      </c>
      <c r="C19" s="7"/>
      <c r="D19" s="7"/>
      <c r="E19" s="7"/>
      <c r="F19" s="7"/>
      <c r="G19" s="7"/>
      <c r="H19" s="7"/>
      <c r="I19" s="7"/>
    </row>
    <row r="20" spans="1:9" ht="18.75" x14ac:dyDescent="0.3">
      <c r="A20" s="7" t="str">
        <v>Ngone</v>
      </c>
      <c r="B20" s="2" t="str" cm="1">
        <f t="array" ref="B20">TRANSPOSE(_xlfn._xlws.SORT(_xlfn.UNIQUE(_xlfn._xlws.FILTER(dtbCommunities[Area Council],dtbCommunities[Island]=A20))))</f>
        <v>Ngana &amp; Pala</v>
      </c>
      <c r="C20" s="7"/>
      <c r="D20" s="7"/>
      <c r="E20" s="7"/>
      <c r="F20" s="7"/>
      <c r="G20" s="7"/>
      <c r="H20" s="7"/>
      <c r="I20" s="7"/>
    </row>
    <row r="21" spans="1:9" ht="18.75" x14ac:dyDescent="0.3">
      <c r="A21" s="7" t="str">
        <v>Anoetyam</v>
      </c>
      <c r="B21" s="2" t="str" cm="1">
        <f t="array" ref="B21">TRANSPOSE(_xlfn._xlws.SORT(_xlfn.UNIQUE(_xlfn._xlws.FILTER(dtbCommunities[Area Council],dtbCommunities[Island]=A21))))</f>
        <v>Anoatyom</v>
      </c>
      <c r="C21" s="7"/>
      <c r="D21" s="7"/>
      <c r="E21" s="7"/>
      <c r="F21" s="7"/>
      <c r="G21" s="7"/>
      <c r="H21" s="7"/>
      <c r="I21" s="7"/>
    </row>
    <row r="22" spans="1:9" ht="18.75" x14ac:dyDescent="0.3">
      <c r="A22" s="7" t="str">
        <v>Tanne</v>
      </c>
      <c r="B22" s="2" t="str" cm="1">
        <f t="array" ref="B22:F22">TRANSPOSE(_xlfn._xlws.SORT(_xlfn.UNIQUE(_xlfn._xlws.FILTER(dtbCommunities[Area Council],dtbCommunities[Island]=A22))))</f>
        <v>East</v>
      </c>
      <c r="C22" s="7" t="str">
        <v>North</v>
      </c>
      <c r="D22" s="7" t="str">
        <v>South</v>
      </c>
      <c r="E22" s="7" t="str">
        <v>South West</v>
      </c>
      <c r="F22" s="7" t="str">
        <v>West</v>
      </c>
      <c r="G22" s="7"/>
      <c r="H22" s="7"/>
      <c r="I22" s="7"/>
    </row>
    <row r="23" spans="1:9" ht="18.75" x14ac:dyDescent="0.3">
      <c r="A23" s="7" t="str">
        <v>Errormenge</v>
      </c>
      <c r="B23" s="2" t="str" cm="1">
        <f t="array" ref="B23:C23">TRANSPOSE(_xlfn._xlws.SORT(_xlfn.UNIQUE(_xlfn._xlws.FILTER(dtbCommunities[Area Council],dtbCommunities[Island]=A23))))</f>
        <v>North</v>
      </c>
      <c r="C23" s="7" t="str">
        <v>South</v>
      </c>
      <c r="D23" s="7"/>
      <c r="E23" s="7"/>
      <c r="F23" s="7"/>
      <c r="G23" s="7"/>
      <c r="H23" s="7"/>
      <c r="I23" s="7"/>
    </row>
    <row r="24" spans="1:9" ht="18.75" x14ac:dyDescent="0.3">
      <c r="A24" s="7" t="str">
        <v>Fitene</v>
      </c>
      <c r="B24" s="2" t="str" cm="1">
        <f t="array" ref="B24">TRANSPOSE(_xlfn._xlws.SORT(_xlfn.UNIQUE(_xlfn._xlws.FILTER(dtbCommunities[Area Council],dtbCommunities[Island]=A24))))</f>
        <v>Fotani</v>
      </c>
      <c r="C24" s="7"/>
      <c r="D24" s="7"/>
      <c r="E24" s="7"/>
      <c r="F24" s="7"/>
      <c r="G24" s="7"/>
      <c r="H24" s="7"/>
      <c r="I24" s="7"/>
    </row>
    <row r="25" spans="1:9" ht="18.75" x14ac:dyDescent="0.3">
      <c r="A25" s="7" t="str">
        <v>Anawi</v>
      </c>
      <c r="B25" s="2" t="str" cm="1">
        <f t="array" ref="B25">TRANSPOSE(_xlfn._xlws.SORT(_xlfn.UNIQUE(_xlfn._xlws.FILTER(dtbCommunities[Area Council],dtbCommunities[Island]=A25))))</f>
        <v>Aniwe</v>
      </c>
      <c r="C25" s="7"/>
      <c r="D25" s="7"/>
      <c r="E25" s="7"/>
      <c r="F25" s="7"/>
      <c r="G25" s="7"/>
      <c r="H25" s="7"/>
      <c r="I25" s="7"/>
    </row>
    <row r="26" spans="1:9" ht="18.75" x14ac:dyDescent="0.3">
      <c r="A26" s="7" t="str">
        <v>Heu</v>
      </c>
      <c r="B26" s="2" t="str" cm="1">
        <f t="array" ref="B26">TRANSPOSE(_xlfn._xlws.SORT(_xlfn.UNIQUE(_xlfn._xlws.FILTER(dtbCommunities[Area Council],dtbCommunities[Island]=A26))))</f>
        <v>Turrus</v>
      </c>
      <c r="C26" s="7"/>
      <c r="D26" s="7"/>
      <c r="E26" s="7"/>
      <c r="F26" s="7"/>
      <c r="G26" s="7"/>
      <c r="H26" s="7"/>
      <c r="I26" s="7"/>
    </row>
    <row r="27" spans="1:9" ht="18.75" x14ac:dyDescent="0.3">
      <c r="A27" s="7" t="str">
        <v>Lih</v>
      </c>
      <c r="B27" s="2" t="str" cm="1">
        <f t="array" ref="B27">TRANSPOSE(_xlfn._xlws.SORT(_xlfn.UNIQUE(_xlfn._xlws.FILTER(dtbCommunities[Area Council],dtbCommunities[Island]=A27))))</f>
        <v>Turrus</v>
      </c>
      <c r="C27" s="7"/>
      <c r="D27" s="7"/>
      <c r="E27" s="7"/>
      <c r="F27" s="7"/>
      <c r="G27" s="7"/>
      <c r="H27" s="7"/>
      <c r="I27" s="7"/>
    </row>
    <row r="28" spans="1:9" ht="18.75" x14ac:dyDescent="0.3">
      <c r="A28" s="7" t="str">
        <v>Tongue</v>
      </c>
      <c r="B28" s="2" t="str" cm="1">
        <f t="array" ref="B28">TRANSPOSE(_xlfn._xlws.SORT(_xlfn.UNIQUE(_xlfn._xlws.FILTER(dtbCommunities[Area Council],dtbCommunities[Island]=A28))))</f>
        <v>Turrus</v>
      </c>
      <c r="C28" s="7"/>
      <c r="D28" s="7"/>
      <c r="E28" s="7"/>
      <c r="F28" s="7"/>
      <c r="G28" s="7"/>
      <c r="H28" s="7"/>
      <c r="I28" s="7"/>
    </row>
    <row r="29" spans="1:9" ht="18.75" x14ac:dyDescent="0.3">
      <c r="A29" s="7" t="str">
        <v>Tiga</v>
      </c>
      <c r="B29" s="2" t="str" cm="1">
        <f t="array" ref="B29">TRANSPOSE(_xlfn._xlws.SORT(_xlfn.UNIQUE(_xlfn._xlws.FILTER(dtbCommunities[Area Council],dtbCommunities[Island]=A29))))</f>
        <v>Turrus</v>
      </c>
      <c r="C29" s="7"/>
      <c r="D29" s="7"/>
      <c r="E29" s="7"/>
      <c r="F29" s="7"/>
      <c r="G29" s="7"/>
      <c r="H29" s="7"/>
      <c r="I29" s="7"/>
    </row>
    <row r="30" spans="1:9" ht="18.75" x14ac:dyDescent="0.3">
      <c r="A30" s="7" t="str">
        <v>Uropiruparu</v>
      </c>
      <c r="B30" s="2" t="str" cm="1">
        <f t="array" ref="B30">TRANSPOSE(_xlfn._xlws.SORT(_xlfn.UNIQUE(_xlfn._xlws.FILTER(dtbCommunities[Area Council],dtbCommunities[Island]=A30))))</f>
        <v>Uropiropere</v>
      </c>
      <c r="C30" s="7"/>
      <c r="D30" s="7"/>
      <c r="E30" s="7"/>
      <c r="F30" s="7"/>
      <c r="G30" s="7"/>
      <c r="H30" s="7"/>
      <c r="I30" s="7"/>
    </row>
    <row r="31" spans="1:9" ht="18.75" x14ac:dyDescent="0.3">
      <c r="A31" s="7" t="str">
        <v>Cote Slavi</v>
      </c>
      <c r="B31" s="2" t="str" cm="1">
        <f t="array" ref="B31">TRANSPOSE(_xlfn._xlws.SORT(_xlfn.UNIQUE(_xlfn._xlws.FILTER(dtbCommunities[Area Council],dtbCommunities[Island]=A31))))</f>
        <v>Mitu lavo</v>
      </c>
      <c r="C31" s="7"/>
      <c r="D31" s="7"/>
      <c r="E31" s="7"/>
      <c r="F31" s="7"/>
      <c r="G31" s="7"/>
      <c r="H31" s="7"/>
      <c r="I31" s="7"/>
    </row>
    <row r="32" spans="1:9" ht="18.75" x14ac:dyDescent="0.3">
      <c r="A32" s="7" t="str">
        <v xml:space="preserve">Meta </v>
      </c>
      <c r="B32" s="2" t="str" cm="1">
        <f t="array" ref="B32">TRANSPOSE(_xlfn._xlws.SORT(_xlfn.UNIQUE(_xlfn._xlws.FILTER(dtbCommunities[Area Council],dtbCommunities[Island]=A32))))</f>
        <v xml:space="preserve">Meta </v>
      </c>
      <c r="C32" s="7"/>
      <c r="D32" s="7"/>
      <c r="E32" s="7"/>
      <c r="F32" s="7"/>
      <c r="G32" s="7"/>
      <c r="H32" s="7"/>
      <c r="I32" s="7"/>
    </row>
    <row r="33" spans="1:9" ht="18.75" x14ac:dyDescent="0.3">
      <c r="A33" s="7" t="str">
        <v>Gases</v>
      </c>
      <c r="B33" s="2" t="str" cm="1">
        <f t="array" ref="B33:C33">TRANSPOSE(_xlfn._xlws.SORT(_xlfn.UNIQUE(_xlfn._xlws.FILTER(dtbCommunities[Area Council],dtbCommunities[Island]=A33))))</f>
        <v>East</v>
      </c>
      <c r="C33" s="7" t="str">
        <v xml:space="preserve">West </v>
      </c>
      <c r="D33" s="7"/>
      <c r="E33" s="7"/>
      <c r="F33" s="7"/>
      <c r="G33" s="7"/>
      <c r="H33" s="7"/>
      <c r="I33" s="7"/>
    </row>
    <row r="34" spans="1:9" ht="18.75" x14ac:dyDescent="0.3">
      <c r="A34" s="7" t="str">
        <v>Vinuilivu</v>
      </c>
      <c r="B34" s="2" t="str" cm="1">
        <f t="array" ref="B34:C34">TRANSPOSE(_xlfn._xlws.SORT(_xlfn.UNIQUE(_xlfn._xlws.FILTER(dtbCommunities[Area Council],dtbCommunities[Island]=A34))))</f>
        <v>East</v>
      </c>
      <c r="C34" s="7" t="str">
        <v xml:space="preserve">West </v>
      </c>
      <c r="D34" s="7"/>
      <c r="E34" s="7"/>
      <c r="F34" s="7"/>
      <c r="G34" s="7"/>
      <c r="H34" s="7"/>
      <c r="I34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383-C6C7-4CF6-B648-457E79066F4F}">
  <sheetPr codeName="Sheet6"/>
  <dimension ref="A2:AB70"/>
  <sheetViews>
    <sheetView workbookViewId="0">
      <selection activeCell="A16" sqref="A1:A1048576"/>
    </sheetView>
  </sheetViews>
  <sheetFormatPr defaultColWidth="10.6640625" defaultRowHeight="18.75" x14ac:dyDescent="0.3"/>
  <cols>
    <col min="1" max="1" width="26.5" style="2" customWidth="1"/>
    <col min="2" max="2" width="13.5" style="2" customWidth="1"/>
    <col min="3" max="3" width="13.1640625" style="2" customWidth="1"/>
    <col min="4" max="4" width="23.1640625" style="2" customWidth="1"/>
    <col min="5" max="5" width="14.6640625" style="2" customWidth="1"/>
    <col min="6" max="6" width="19.33203125" style="2" customWidth="1"/>
    <col min="7" max="7" width="21.5" style="2" customWidth="1"/>
    <col min="8" max="8" width="19.33203125" style="2" customWidth="1"/>
    <col min="9" max="9" width="19.6640625" style="2" customWidth="1"/>
    <col min="10" max="10" width="11.1640625" style="2" customWidth="1"/>
    <col min="11" max="11" width="12.33203125" style="2" customWidth="1"/>
    <col min="12" max="12" width="15.83203125" style="2" customWidth="1"/>
    <col min="13" max="13" width="13" style="2" customWidth="1"/>
    <col min="14" max="14" width="12.1640625" style="2" customWidth="1"/>
    <col min="15" max="15" width="14.83203125" style="2" customWidth="1"/>
    <col min="16" max="16" width="19" style="2" customWidth="1"/>
    <col min="17" max="17" width="9.83203125" style="2" customWidth="1"/>
    <col min="18" max="18" width="8.6640625" style="2" customWidth="1"/>
    <col min="19" max="19" width="11.1640625" style="2" customWidth="1"/>
    <col min="20" max="20" width="10.5" style="2" customWidth="1"/>
    <col min="21" max="21" width="8.5" style="2" customWidth="1"/>
    <col min="22" max="22" width="11.83203125" style="2" customWidth="1"/>
    <col min="23" max="23" width="10.6640625" style="2" customWidth="1"/>
    <col min="24" max="24" width="8.6640625" style="2" customWidth="1"/>
    <col min="25" max="25" width="14.6640625" style="2" customWidth="1"/>
    <col min="26" max="26" width="11.6640625" style="2" customWidth="1"/>
    <col min="27" max="27" width="14.33203125" style="2" customWidth="1"/>
    <col min="28" max="28" width="12.1640625" style="2" customWidth="1"/>
    <col min="29" max="29" width="8.1640625" style="2" customWidth="1"/>
    <col min="30" max="30" width="13.33203125" style="2" bestFit="1" customWidth="1"/>
    <col min="31" max="31" width="12.5" style="2" bestFit="1" customWidth="1"/>
    <col min="32" max="32" width="9.33203125" style="2" bestFit="1" customWidth="1"/>
    <col min="33" max="33" width="19.5" style="2" bestFit="1" customWidth="1"/>
    <col min="34" max="34" width="12.1640625" style="2" bestFit="1" customWidth="1"/>
    <col min="35" max="35" width="14.5" style="2" bestFit="1" customWidth="1"/>
    <col min="36" max="36" width="11" style="2" bestFit="1" customWidth="1"/>
    <col min="37" max="37" width="19.6640625" style="2" bestFit="1" customWidth="1"/>
    <col min="38" max="38" width="20.5" style="2" bestFit="1" customWidth="1"/>
    <col min="39" max="39" width="25.33203125" style="2" bestFit="1" customWidth="1"/>
    <col min="40" max="40" width="21.33203125" style="2" bestFit="1" customWidth="1"/>
    <col min="41" max="41" width="17" style="2" bestFit="1" customWidth="1"/>
    <col min="42" max="42" width="11" style="2" bestFit="1" customWidth="1"/>
    <col min="43" max="43" width="17.83203125" style="2" bestFit="1" customWidth="1"/>
    <col min="44" max="44" width="10.83203125" style="2" bestFit="1" customWidth="1"/>
    <col min="45" max="45" width="14.5" style="2" bestFit="1" customWidth="1"/>
    <col min="46" max="46" width="16.5" style="2" bestFit="1" customWidth="1"/>
    <col min="47" max="47" width="13.83203125" style="2" bestFit="1" customWidth="1"/>
    <col min="48" max="48" width="18.5" style="2" bestFit="1" customWidth="1"/>
    <col min="49" max="49" width="18.6640625" style="2" bestFit="1" customWidth="1"/>
    <col min="50" max="50" width="16.33203125" style="2" bestFit="1" customWidth="1"/>
    <col min="51" max="51" width="17.6640625" style="2" bestFit="1" customWidth="1"/>
    <col min="52" max="52" width="12.33203125" style="2" bestFit="1" customWidth="1"/>
    <col min="53" max="53" width="12.1640625" style="2" bestFit="1" customWidth="1"/>
    <col min="54" max="54" width="13.5" style="2" bestFit="1" customWidth="1"/>
    <col min="55" max="55" width="13.6640625" style="2" bestFit="1" customWidth="1"/>
    <col min="56" max="56" width="13.83203125" style="2" bestFit="1" customWidth="1"/>
    <col min="57" max="57" width="25.5" style="2" bestFit="1" customWidth="1"/>
    <col min="58" max="58" width="14.6640625" style="2" bestFit="1" customWidth="1"/>
    <col min="59" max="59" width="11.5" style="2" bestFit="1" customWidth="1"/>
    <col min="60" max="60" width="23.1640625" style="2" bestFit="1" customWidth="1"/>
    <col min="61" max="61" width="12.83203125" style="2" bestFit="1" customWidth="1"/>
    <col min="62" max="62" width="14.5" style="2" bestFit="1" customWidth="1"/>
    <col min="63" max="63" width="9" style="2" bestFit="1" customWidth="1"/>
    <col min="64" max="64" width="8.6640625" style="2" bestFit="1" customWidth="1"/>
    <col min="65" max="65" width="10.33203125" style="2" bestFit="1" customWidth="1"/>
    <col min="66" max="66" width="16" style="2" bestFit="1" customWidth="1"/>
    <col min="67" max="67" width="8.33203125" style="2" bestFit="1" customWidth="1"/>
    <col min="68" max="68" width="12.5" style="2" bestFit="1" customWidth="1"/>
    <col min="69" max="69" width="12.1640625" style="2" bestFit="1" customWidth="1"/>
    <col min="70" max="70" width="11.6640625" style="2" bestFit="1" customWidth="1"/>
    <col min="71" max="71" width="8" style="2" bestFit="1" customWidth="1"/>
    <col min="72" max="72" width="7" style="2" bestFit="1" customWidth="1"/>
    <col min="73" max="73" width="6.83203125" style="2" bestFit="1" customWidth="1"/>
    <col min="74" max="74" width="9.33203125" style="2" bestFit="1" customWidth="1"/>
    <col min="75" max="75" width="5.83203125" style="2" bestFit="1" customWidth="1"/>
    <col min="76" max="76" width="10" style="2" bestFit="1" customWidth="1"/>
    <col min="77" max="77" width="12.83203125" style="2" bestFit="1" customWidth="1"/>
    <col min="78" max="78" width="7.5" style="2" bestFit="1" customWidth="1"/>
    <col min="79" max="16384" width="10.6640625" style="2"/>
  </cols>
  <sheetData>
    <row r="2" spans="1:28" x14ac:dyDescent="0.3">
      <c r="A2" s="2" t="s">
        <v>613</v>
      </c>
      <c r="B2" s="2" t="s">
        <v>12</v>
      </c>
      <c r="C2" s="2" t="s">
        <v>29</v>
      </c>
      <c r="D2" s="2" t="s">
        <v>30</v>
      </c>
    </row>
    <row r="3" spans="1:28" x14ac:dyDescent="0.3">
      <c r="A3" s="2" t="str" cm="1">
        <f t="array" ref="A3:A70">_xlfn.UNIQUE(dtbCommunities[IslandAreaCouncil])</f>
        <v>Malokilo-Central</v>
      </c>
      <c r="B3" s="2" t="str" cm="1">
        <f t="array" ref="B3:C3">_xlfn.TEXTSPLIT(A3,"-")</f>
        <v>Malokilo</v>
      </c>
      <c r="C3" s="2" t="str">
        <v>Central</v>
      </c>
      <c r="D3" s="2" t="str" cm="1">
        <f t="array" ref="D3:V3">TRANSPOSE(_xlfn._xlws.SORT(_xlfn.UNIQUE(_xlfn._xlws.FILTER(dtbCommunities[Community],dtbCommunities[IslandAreaCouncil]=A3))))</f>
        <v>Barreck</v>
      </c>
      <c r="E3" s="2" t="str">
        <v>Bishmun boy</v>
      </c>
      <c r="F3" s="2" t="str">
        <v>Freddy's Cummanity</v>
      </c>
      <c r="G3" s="2" t="str">
        <v>Lambobo</v>
      </c>
      <c r="H3" s="2" t="str">
        <v>Liroslut</v>
      </c>
      <c r="I3" s="2" t="str">
        <v>Lutzlitz</v>
      </c>
      <c r="J3" s="2" t="str">
        <v>Luuni</v>
      </c>
      <c r="K3" s="2" t="str">
        <v>Nersap Muunlind</v>
      </c>
      <c r="L3" s="2" t="str">
        <v>Nersop Islond</v>
      </c>
      <c r="M3" s="2" t="str">
        <v>Nirsup Islind</v>
      </c>
      <c r="N3" s="2" t="str">
        <v>Purtindur</v>
      </c>
      <c r="O3" s="2" t="str">
        <v>Sarmittu</v>
      </c>
      <c r="P3" s="2" t="str">
        <v>Sormutte</v>
      </c>
      <c r="Q3" s="2" t="str">
        <v>Tonssil</v>
      </c>
      <c r="R3" s="2" t="str">
        <v>Tuuta</v>
      </c>
      <c r="S3" s="2" t="str">
        <v>Ura</v>
      </c>
      <c r="T3" s="2" t="str">
        <v>Urpuv</v>
      </c>
      <c r="U3" s="2" t="str">
        <v>Vinmaves</v>
      </c>
      <c r="V3" s="2" t="str">
        <v>Vonmivos</v>
      </c>
    </row>
    <row r="4" spans="1:28" x14ac:dyDescent="0.3">
      <c r="A4" s="2" t="str">
        <v>Malokilo-North East</v>
      </c>
      <c r="B4" s="2" t="str" cm="1">
        <f t="array" ref="B4:C4">_xlfn.TEXTSPLIT(A4,"-")</f>
        <v>Malokilo</v>
      </c>
      <c r="C4" s="2" t="str">
        <v>North East</v>
      </c>
      <c r="D4" s="2" t="str" cm="1">
        <f t="array" ref="D4:Q4">TRANSPOSE(_xlfn._xlws.SORT(_xlfn.UNIQUE(_xlfn._xlws.FILTER(dtbCommunities[Community],dtbCommunities[IslandAreaCouncil]=A4))))</f>
        <v>Atchin Islend</v>
      </c>
      <c r="E4" s="2" t="str">
        <v>Bothal</v>
      </c>
      <c r="F4" s="2" t="str">
        <v>Butevar</v>
      </c>
      <c r="G4" s="2" t="str">
        <v>Lavilsel</v>
      </c>
      <c r="H4" s="2" t="str">
        <v>Libotoir</v>
      </c>
      <c r="I4" s="2" t="str">
        <v>Orip</v>
      </c>
      <c r="J4" s="2" t="str">
        <v>Penalum</v>
      </c>
      <c r="K4" s="2" t="str">
        <v>Rine eslend</v>
      </c>
      <c r="L4" s="2" t="str">
        <v>Rini Muenlend</v>
      </c>
      <c r="M4" s="2" t="str">
        <v>Veo Muinland</v>
      </c>
      <c r="N4" s="2" t="str">
        <v>Vii Islind</v>
      </c>
      <c r="O4" s="2" t="str">
        <v>Wele Mianlind</v>
      </c>
      <c r="P4" s="2" t="str">
        <v>Wirmut</v>
      </c>
      <c r="Q4" s="2" t="str">
        <v>Wolo Islend</v>
      </c>
    </row>
    <row r="5" spans="1:28" x14ac:dyDescent="0.3">
      <c r="A5" s="2" t="str">
        <v>Malokilo-South West</v>
      </c>
      <c r="B5" s="2" t="str" cm="1">
        <f t="array" ref="B5:C5">_xlfn.TEXTSPLIT(A5,"-")</f>
        <v>Malokilo</v>
      </c>
      <c r="C5" s="2" t="str">
        <v>South West</v>
      </c>
      <c r="D5" s="2" t="str" cm="1">
        <f t="array" ref="D5:N5">TRANSPOSE(_xlfn._xlws.SORT(_xlfn.UNIQUE(_xlfn._xlws.FILTER(dtbCommunities[Community],dtbCommunities[IslandAreaCouncil]=A5))))</f>
        <v>Bamboo Biy (Latekes)</v>
      </c>
      <c r="E5" s="2" t="str">
        <v>Buneor</v>
      </c>
      <c r="F5" s="2" t="str">
        <v>Cerolunu Boy</v>
      </c>
      <c r="G5" s="2" t="str">
        <v>Doxin Riof</v>
      </c>
      <c r="H5" s="2" t="str">
        <v>Lanbunwon</v>
      </c>
      <c r="I5" s="2" t="str">
        <v>Lawa</v>
      </c>
      <c r="J5" s="2" t="str">
        <v>Lebo</v>
      </c>
      <c r="K5" s="2" t="str">
        <v>Lurli</v>
      </c>
      <c r="L5" s="2" t="str">
        <v>Mulap</v>
      </c>
      <c r="M5" s="2" t="str">
        <v>Toman oslind</v>
      </c>
      <c r="N5" s="2" t="str">
        <v>Whatisinds</v>
      </c>
    </row>
    <row r="6" spans="1:28" x14ac:dyDescent="0.3">
      <c r="A6" s="2" t="str">
        <v>Embron-West</v>
      </c>
      <c r="B6" s="2" t="str" cm="1">
        <f t="array" ref="B6:C6">_xlfn.TEXTSPLIT(A6,"-")</f>
        <v>Embron</v>
      </c>
      <c r="C6" s="2" t="str">
        <v>West</v>
      </c>
      <c r="D6" s="2" t="str" cm="1">
        <f t="array" ref="D6:Q6">TRANSPOSE(_xlfn._xlws.SORT(_xlfn.UNIQUE(_xlfn._xlws.FILTER(dtbCommunities[Community],dtbCommunities[IslandAreaCouncil]=A6))))</f>
        <v>Boaip Prosbytureun</v>
      </c>
      <c r="E6" s="2" t="str">
        <v>Buoup SDA</v>
      </c>
      <c r="F6" s="2" t="str">
        <v>Fole</v>
      </c>
      <c r="G6" s="2" t="str">
        <v>Lalanda</v>
      </c>
      <c r="H6" s="2" t="str">
        <v>Lanmae</v>
      </c>
      <c r="I6" s="2" t="str">
        <v>Lenmic</v>
      </c>
      <c r="J6" s="2" t="str">
        <v>Lolanweo</v>
      </c>
      <c r="K6" s="2" t="str">
        <v>Palimii</v>
      </c>
      <c r="L6" s="2" t="str">
        <v>Rinworiken</v>
      </c>
      <c r="M6" s="2" t="str">
        <v>Selel</v>
      </c>
      <c r="N6" s="2" t="str">
        <v>Sesevi</v>
      </c>
      <c r="O6" s="2" t="str">
        <v>Sonesup</v>
      </c>
      <c r="P6" s="2" t="str">
        <v>Wiri</v>
      </c>
      <c r="Q6" s="2" t="str">
        <v>Yolahoe</v>
      </c>
    </row>
    <row r="7" spans="1:28" x14ac:dyDescent="0.3">
      <c r="A7" s="2" t="str">
        <v>Embron-North</v>
      </c>
      <c r="B7" s="2" t="str" cm="1">
        <f t="array" ref="B7:C7">_xlfn.TEXTSPLIT(A7,"-")</f>
        <v>Embron</v>
      </c>
      <c r="C7" s="2" t="str">
        <v>North</v>
      </c>
      <c r="D7" s="2" t="str" cm="1">
        <f t="array" ref="D7:Z7">TRANSPOSE(_xlfn._xlws.SORT(_xlfn.UNIQUE(_xlfn._xlws.FILTER(dtbCommunities[Community],dtbCommunities[IslandAreaCouncil]=A7))))</f>
        <v>Boriraa</v>
      </c>
      <c r="E7" s="2" t="str">
        <v>Fatungtang</v>
      </c>
      <c r="F7" s="2" t="str">
        <v>Felebier</v>
      </c>
      <c r="G7" s="2" t="str">
        <v>Fino</v>
      </c>
      <c r="H7" s="2" t="str">
        <v>Finte</v>
      </c>
      <c r="I7" s="2" t="str">
        <v>Funteng</v>
      </c>
      <c r="J7" s="2" t="str">
        <v>Horramel</v>
      </c>
      <c r="K7" s="2" t="str">
        <v>Kenkon</v>
      </c>
      <c r="L7" s="2" t="str">
        <v>Leneruer</v>
      </c>
      <c r="M7" s="2" t="str">
        <v>Lenpikur</v>
      </c>
      <c r="N7" s="2" t="str">
        <v>Lunbul</v>
      </c>
      <c r="O7" s="2" t="str">
        <v>Maghem</v>
      </c>
      <c r="P7" s="2" t="str">
        <v>Malvir</v>
      </c>
      <c r="Q7" s="2" t="str">
        <v>Nupul</v>
      </c>
      <c r="R7" s="2" t="str">
        <v>Olal</v>
      </c>
      <c r="S7" s="2" t="str">
        <v>Ranbotuwau</v>
      </c>
      <c r="T7" s="2" t="str">
        <v>Ranmehi</v>
      </c>
      <c r="U7" s="2" t="str">
        <v>Ranvetlum</v>
      </c>
      <c r="V7" s="2" t="str">
        <v xml:space="preserve">Ranwirkiro </v>
      </c>
      <c r="W7" s="2" t="str">
        <v>Renin</v>
      </c>
      <c r="X7" s="2" t="str">
        <v>Saent Luu</v>
      </c>
      <c r="Y7" s="2" t="str">
        <v>Seant Rephuel</v>
      </c>
      <c r="Z7" s="2" t="str">
        <v>Wiolot</v>
      </c>
    </row>
    <row r="8" spans="1:28" x14ac:dyDescent="0.3">
      <c r="A8" s="2" t="str">
        <v>Malokilo-South</v>
      </c>
      <c r="B8" s="2" t="str" cm="1">
        <f t="array" ref="B8:C8">_xlfn.TEXTSPLIT(A8,"-")</f>
        <v>Malokilo</v>
      </c>
      <c r="C8" s="2" t="str">
        <v>South</v>
      </c>
      <c r="D8" s="2" t="str" cm="1">
        <f t="array" ref="D8:Q8">TRANSPOSE(_xlfn._xlws.SORT(_xlfn.UNIQUE(_xlfn._xlws.FILTER(dtbCommunities[Community],dtbCommunities[IslandAreaCouncil]=A8))))</f>
        <v>Akhamb</v>
      </c>
      <c r="E8" s="2" t="str">
        <v>Avock Islund</v>
      </c>
      <c r="F8" s="2" t="str">
        <v>Benap</v>
      </c>
      <c r="G8" s="2" t="str">
        <v>Bunip</v>
      </c>
      <c r="H8" s="2" t="str">
        <v>Drovia</v>
      </c>
      <c r="I8" s="2" t="str">
        <v>Farout</v>
      </c>
      <c r="J8" s="2" t="str">
        <v>Ham Sandwich</v>
      </c>
      <c r="K8" s="2" t="str">
        <v>Hoeiem</v>
      </c>
      <c r="L8" s="2" t="str">
        <v>Hokoo</v>
      </c>
      <c r="M8" s="2" t="str">
        <v>Litis</v>
      </c>
      <c r="N8" s="2" t="str">
        <v>Nuronehem</v>
      </c>
      <c r="O8" s="2" t="str">
        <v>Pollingk</v>
      </c>
      <c r="P8" s="2" t="str">
        <v>Pukemore</v>
      </c>
      <c r="Q8" s="2" t="str">
        <v>Rovahon</v>
      </c>
    </row>
    <row r="9" spans="1:28" x14ac:dyDescent="0.3">
      <c r="A9" s="2" t="str">
        <v>Embron-South East</v>
      </c>
      <c r="B9" s="2" t="str" cm="1">
        <f t="array" ref="B9:C9">_xlfn.TEXTSPLIT(A9,"-")</f>
        <v>Embron</v>
      </c>
      <c r="C9" s="2" t="str">
        <v>South East</v>
      </c>
      <c r="D9" s="2" t="str" cm="1">
        <f t="array" ref="D9:N9">TRANSPOSE(_xlfn._xlws.SORT(_xlfn.UNIQUE(_xlfn._xlws.FILTER(dtbCommunities[Community],dtbCommunities[IslandAreaCouncil]=A9))))</f>
        <v>Buthnil</v>
      </c>
      <c r="E9" s="2" t="str">
        <v>Endo</v>
      </c>
      <c r="F9" s="2" t="str">
        <v>Mira</v>
      </c>
      <c r="G9" s="2" t="str">
        <v>Pinepu</v>
      </c>
      <c r="H9" s="2" t="str">
        <v>Pommal</v>
      </c>
      <c r="I9" s="2" t="str">
        <v>Punepe</v>
      </c>
      <c r="J9" s="2" t="str">
        <v>Semooo</v>
      </c>
      <c r="K9" s="2" t="str">
        <v>Tovaok</v>
      </c>
      <c r="L9" s="2" t="str">
        <v>Tuek</v>
      </c>
      <c r="M9" s="2" t="str">
        <v>Ulae</v>
      </c>
      <c r="N9" s="2" t="str">
        <v>Utes</v>
      </c>
    </row>
    <row r="10" spans="1:28" x14ac:dyDescent="0.3">
      <c r="A10" s="2" t="str">
        <v>Malokilo-South East</v>
      </c>
      <c r="B10" s="2" t="str" cm="1">
        <f t="array" ref="B10:C10">_xlfn.TEXTSPLIT(A10,"-")</f>
        <v>Malokilo</v>
      </c>
      <c r="C10" s="2" t="str">
        <v>South East</v>
      </c>
      <c r="D10" s="2" t="str" cm="1">
        <f t="array" ref="D10:O10">TRANSPOSE(_xlfn._xlws.SORT(_xlfn.UNIQUE(_xlfn._xlws.FILTER(dtbCommunities[Community],dtbCommunities[IslandAreaCouncil]=A10))))</f>
        <v>Asirak</v>
      </c>
      <c r="E10" s="2" t="str">
        <v>Birtuvo</v>
      </c>
      <c r="F10" s="2" t="str">
        <v>Blocksend</v>
      </c>
      <c r="G10" s="2" t="str">
        <v>Blocksund</v>
      </c>
      <c r="H10" s="2" t="str">
        <v>Brobarr</v>
      </c>
      <c r="I10" s="2" t="str">
        <v>Dewan</v>
      </c>
      <c r="J10" s="2" t="str">
        <v>Remof</v>
      </c>
      <c r="K10" s="2" t="str">
        <v>Renaveah</v>
      </c>
      <c r="L10" s="2" t="str">
        <v>Tarumb</v>
      </c>
      <c r="M10" s="2" t="str">
        <v>Tismin</v>
      </c>
      <c r="N10" s="2" t="str">
        <v>Unie 5 (Motenoa)</v>
      </c>
      <c r="O10" s="2" t="str">
        <v>Uniu 2 (Neruhm)</v>
      </c>
    </row>
    <row r="11" spans="1:28" x14ac:dyDescent="0.3">
      <c r="A11" s="2" t="str">
        <v>Piuma-Piemo</v>
      </c>
      <c r="B11" s="2" t="str" cm="1">
        <f t="array" ref="B11:C11">_xlfn.TEXTSPLIT(A11,"-")</f>
        <v>Piuma</v>
      </c>
      <c r="C11" s="2" t="str">
        <v>Piemo</v>
      </c>
      <c r="D11" s="2" t="str" cm="1">
        <f t="array" ref="D11:R11">TRANSPOSE(_xlfn._xlws.SORT(_xlfn.UNIQUE(_xlfn._xlws.FILTER(dtbCommunities[Community],dtbCommunities[IslandAreaCouncil]=A11))))</f>
        <v>Kolia</v>
      </c>
      <c r="E11" s="2" t="str">
        <v>Lari</v>
      </c>
      <c r="F11" s="2" t="str">
        <v>Lilep</v>
      </c>
      <c r="G11" s="2" t="str">
        <v>Lilo</v>
      </c>
      <c r="H11" s="2" t="str">
        <v>Luru Nissu</v>
      </c>
      <c r="I11" s="2" t="str">
        <v>Niu</v>
      </c>
      <c r="J11" s="2" t="str">
        <v>Tahi</v>
      </c>
      <c r="K11" s="2" t="str">
        <v>Tihol Nassa</v>
      </c>
      <c r="L11" s="2" t="str">
        <v>Tivolei</v>
      </c>
      <c r="M11" s="2" t="str">
        <v>Tohul Notin</v>
      </c>
      <c r="N11" s="2" t="str">
        <v>Tuvea</v>
      </c>
      <c r="O11" s="2" t="str">
        <v>Unhinged</v>
      </c>
      <c r="P11" s="2" t="str">
        <v xml:space="preserve">Varaver </v>
      </c>
      <c r="Q11" s="2" t="str">
        <v>Vatekao</v>
      </c>
      <c r="R11" s="2" t="str">
        <v>Vielile Nutin</v>
      </c>
    </row>
    <row r="12" spans="1:28" x14ac:dyDescent="0.3">
      <c r="A12" s="2" t="str">
        <v>Malokilo-North West</v>
      </c>
      <c r="B12" s="2" t="str" cm="1">
        <f t="array" ref="B12:C12">_xlfn.TEXTSPLIT(A12,"-")</f>
        <v>Malokilo</v>
      </c>
      <c r="C12" s="2" t="str">
        <v>North West</v>
      </c>
      <c r="D12" s="2" t="str" cm="1">
        <f t="array" ref="D12:AB12">TRANSPOSE(_xlfn._xlws.SORT(_xlfn.UNIQUE(_xlfn._xlws.FILTER(dtbCommunities[Community],dtbCommunities[IslandAreaCouncil]=A12))))</f>
        <v>Alpilick</v>
      </c>
      <c r="E12" s="2" t="str">
        <v>Bononoveth</v>
      </c>
      <c r="F12" s="2" t="str">
        <v>Brinwio</v>
      </c>
      <c r="G12" s="2" t="str">
        <v>Burr</v>
      </c>
      <c r="H12" s="2" t="str">
        <v>Espugles Bey</v>
      </c>
      <c r="I12" s="2" t="str">
        <v>Lihin</v>
      </c>
      <c r="J12" s="2" t="str">
        <v>Lisinweo</v>
      </c>
      <c r="K12" s="2" t="str">
        <v>Lisonwii</v>
      </c>
      <c r="L12" s="2" t="str">
        <v>Liveemp 2</v>
      </c>
      <c r="M12" s="2" t="str">
        <v>Luvuimp 1</v>
      </c>
      <c r="N12" s="2" t="str">
        <v>Milou Biy</v>
      </c>
      <c r="O12" s="2" t="str">
        <v>Mitonvet</v>
      </c>
      <c r="P12" s="2" t="str">
        <v>Rombak</v>
      </c>
      <c r="Q12" s="2" t="str">
        <v>Talwua</v>
      </c>
      <c r="R12" s="2" t="str">
        <v>Tanmeal</v>
      </c>
      <c r="S12" s="2" t="str">
        <v>Tentor</v>
      </c>
      <c r="T12" s="2" t="str">
        <v>Tonmiro</v>
      </c>
      <c r="U12" s="2" t="str">
        <v>Unmet</v>
      </c>
      <c r="V12" s="2" t="str">
        <v>Unmuh</v>
      </c>
      <c r="W12" s="2" t="str">
        <v>Vuhis</v>
      </c>
      <c r="X12" s="2" t="str">
        <v>Vuhos</v>
      </c>
      <c r="Y12" s="2" t="str">
        <v>Win</v>
      </c>
      <c r="Z12" s="2" t="str">
        <v>Wuewi</v>
      </c>
      <c r="AA12" s="2" t="str">
        <v>Wullek</v>
      </c>
      <c r="AB12" s="2" t="str">
        <v>Wuwo</v>
      </c>
    </row>
    <row r="13" spans="1:28" x14ac:dyDescent="0.3">
      <c r="A13" s="2" t="str">
        <v>Bentacast-North</v>
      </c>
      <c r="B13" s="2" t="str" cm="1">
        <f t="array" ref="B13:C13">_xlfn.TEXTSPLIT(A13,"-")</f>
        <v>Bentacast</v>
      </c>
      <c r="C13" s="2" t="str">
        <v>North</v>
      </c>
      <c r="D13" s="2" t="str" cm="1">
        <f t="array" ref="D13:N13">TRANSPOSE(_xlfn._xlws.SORT(_xlfn.UNIQUE(_xlfn._xlws.FILTER(dtbCommunities[Community],dtbCommunities[IslandAreaCouncil]=A13))))</f>
        <v>Abwentontere</v>
      </c>
      <c r="E13" s="2" t="str">
        <v>Abwetenveti</v>
      </c>
      <c r="F13" s="2" t="str">
        <v>Alake</v>
      </c>
      <c r="G13" s="2" t="str">
        <v>Alio</v>
      </c>
      <c r="H13" s="2" t="str">
        <v>Arungbwurite</v>
      </c>
      <c r="I13" s="2" t="str">
        <v>Avureenu</v>
      </c>
      <c r="J13" s="2" t="str">
        <v>Leine</v>
      </c>
      <c r="K13" s="2" t="str">
        <v>Leltung</v>
      </c>
      <c r="L13" s="2" t="str">
        <v>Lubeltamita</v>
      </c>
      <c r="M13" s="2" t="str">
        <v>Lutano</v>
      </c>
      <c r="N13" s="2" t="str">
        <v>Numbworengiit</v>
      </c>
    </row>
    <row r="14" spans="1:28" x14ac:dyDescent="0.3">
      <c r="A14" s="2" t="str">
        <v>Ambea-East</v>
      </c>
      <c r="B14" s="2" t="str" cm="1">
        <f t="array" ref="B14:C14">_xlfn.TEXTSPLIT(A14,"-")</f>
        <v>Ambea</v>
      </c>
      <c r="C14" s="2" t="str">
        <v>East</v>
      </c>
      <c r="D14" s="2" t="str" cm="1">
        <f t="array" ref="D14:F14">TRANSPOSE(_xlfn._xlws.SORT(_xlfn.UNIQUE(_xlfn._xlws.FILTER(dtbCommunities[Community],dtbCommunities[IslandAreaCouncil]=A14))))</f>
        <v>Aloe word</v>
      </c>
      <c r="E14" s="2" t="str">
        <v>Liliwuu</v>
      </c>
      <c r="F14" s="2" t="str">
        <v>Nivundi</v>
      </c>
    </row>
    <row r="15" spans="1:28" x14ac:dyDescent="0.3">
      <c r="A15" s="2" t="str">
        <v>Ambea-West</v>
      </c>
      <c r="B15" s="2" t="str" cm="1">
        <f t="array" ref="B15:C15">_xlfn.TEXTSPLIT(A15,"-")</f>
        <v>Ambea</v>
      </c>
      <c r="C15" s="2" t="str">
        <v>West</v>
      </c>
      <c r="D15" s="2" t="str" cm="1">
        <f t="array" ref="D15:K15">TRANSPOSE(_xlfn._xlws.SORT(_xlfn.UNIQUE(_xlfn._xlws.FILTER(dtbCommunities[Community],dtbCommunities[IslandAreaCouncil]=A15))))</f>
        <v>Amata</v>
      </c>
      <c r="E15" s="2" t="str">
        <v>Duvels Cock</v>
      </c>
      <c r="F15" s="2" t="str">
        <v>Lelimbonge</v>
      </c>
      <c r="G15" s="2" t="str">
        <v>Lianu</v>
      </c>
      <c r="H15" s="2" t="str">
        <v>Nikatare</v>
      </c>
      <c r="I15" s="2" t="str">
        <v>Veteungi</v>
      </c>
      <c r="J15" s="2" t="str">
        <v>Vilakulako</v>
      </c>
      <c r="K15" s="2" t="str">
        <v>Wolehu</v>
      </c>
    </row>
    <row r="16" spans="1:28" x14ac:dyDescent="0.3">
      <c r="A16" s="2" t="str">
        <v>Maiwo-South</v>
      </c>
      <c r="B16" s="2" t="str" cm="1">
        <f t="array" ref="B16:C16">_xlfn.TEXTSPLIT(A16,"-")</f>
        <v>Maiwo</v>
      </c>
      <c r="C16" s="2" t="str">
        <v>South</v>
      </c>
      <c r="D16" s="2" t="str" cm="1">
        <f t="array" ref="D16:H16">TRANSPOSE(_xlfn._xlws.SORT(_xlfn.UNIQUE(_xlfn._xlws.FILTER(dtbCommunities[Community],dtbCommunities[IslandAreaCouncil]=A16))))</f>
        <v>Asenvire</v>
      </c>
      <c r="E16" s="2" t="str">
        <v>Baetaro</v>
      </c>
      <c r="F16" s="2" t="str">
        <v>Nesiwe</v>
      </c>
      <c r="G16" s="2" t="str">
        <v>Nurevravi</v>
      </c>
      <c r="H16" s="2" t="str">
        <v>Toliso</v>
      </c>
    </row>
    <row r="17" spans="1:20" x14ac:dyDescent="0.3">
      <c r="A17" s="2" t="str">
        <v>Bentacast-South</v>
      </c>
      <c r="B17" s="2" t="str" cm="1">
        <f t="array" ref="B17:C17">_xlfn.TEXTSPLIT(A17,"-")</f>
        <v>Bentacast</v>
      </c>
      <c r="C17" s="2" t="str">
        <v>South</v>
      </c>
      <c r="D17" s="2" t="str" cm="1">
        <f t="array" ref="D17:P17">TRANSPOSE(_xlfn._xlws.SORT(_xlfn.UNIQUE(_xlfn._xlws.FILTER(dtbCommunities[Community],dtbCommunities[IslandAreaCouncil]=A17))))</f>
        <v>Barivot</v>
      </c>
      <c r="E17" s="2" t="str">
        <v>Boy Motula</v>
      </c>
      <c r="F17" s="2" t="str">
        <v>Hut Wetu</v>
      </c>
      <c r="G17" s="2" t="str">
        <v>Lonirori</v>
      </c>
      <c r="H17" s="2" t="str">
        <v>Paant Cross</v>
      </c>
      <c r="I17" s="2" t="str">
        <v>Panga</v>
      </c>
      <c r="J17" s="2" t="str">
        <v>Pines</v>
      </c>
      <c r="K17" s="2" t="str">
        <v>Rengsaksak</v>
      </c>
      <c r="L17" s="2" t="str">
        <v>Renpotir</v>
      </c>
      <c r="M17" s="2" t="str">
        <v>Ronmuwit</v>
      </c>
      <c r="N17" s="2" t="str">
        <v>Runun (Bibaroe)</v>
      </c>
      <c r="O17" s="2" t="str">
        <v>Watarfall</v>
      </c>
      <c r="P17" s="2" t="str">
        <v>Wonar</v>
      </c>
    </row>
    <row r="18" spans="1:20" x14ac:dyDescent="0.3">
      <c r="A18" s="2" t="str">
        <v>Maiwo-North</v>
      </c>
      <c r="B18" s="2" t="str" cm="1">
        <f t="array" ref="B18:C18">_xlfn.TEXTSPLIT(A18,"-")</f>
        <v>Maiwo</v>
      </c>
      <c r="C18" s="2" t="str">
        <v>North</v>
      </c>
      <c r="D18" s="2" t="str" cm="1">
        <f t="array" ref="D18:J18">TRANSPOSE(_xlfn._xlws.SORT(_xlfn.UNIQUE(_xlfn._xlws.FILTER(dtbCommunities[Community],dtbCommunities[IslandAreaCouncil]=A18))))</f>
        <v>Beturero</v>
      </c>
      <c r="E18" s="2" t="str">
        <v>Guuiwo</v>
      </c>
      <c r="F18" s="2" t="str">
        <v>Kiraboo</v>
      </c>
      <c r="G18" s="2" t="str">
        <v>Marino</v>
      </c>
      <c r="H18" s="2" t="str">
        <v>Naini</v>
      </c>
      <c r="I18" s="2" t="str">
        <v>Neamome</v>
      </c>
      <c r="J18" s="2" t="str">
        <v>Rembe</v>
      </c>
    </row>
    <row r="19" spans="1:20" x14ac:dyDescent="0.3">
      <c r="A19" s="2" t="str">
        <v>Bentacast-Central</v>
      </c>
      <c r="B19" s="2" t="str" cm="1">
        <f t="array" ref="B19:C19">_xlfn.TEXTSPLIT(A19,"-")</f>
        <v>Bentacast</v>
      </c>
      <c r="C19" s="2" t="str">
        <v>Central</v>
      </c>
      <c r="D19" s="2" t="str" cm="1">
        <f t="array" ref="D19:F19">TRANSPOSE(_xlfn._xlws.SORT(_xlfn.UNIQUE(_xlfn._xlws.FILTER(dtbCommunities[Community],dtbCommunities[IslandAreaCouncil]=A19))))</f>
        <v>Bwetnupni</v>
      </c>
      <c r="E19" s="2" t="str">
        <v>Maladapted</v>
      </c>
      <c r="F19" s="2" t="str">
        <v>Nomiram</v>
      </c>
    </row>
    <row r="20" spans="1:20" x14ac:dyDescent="0.3">
      <c r="A20" s="2" t="str">
        <v>Ambea-North</v>
      </c>
      <c r="B20" s="2" t="str" cm="1">
        <f t="array" ref="B20:C20">_xlfn.TEXTSPLIT(A20,"-")</f>
        <v>Ambea</v>
      </c>
      <c r="C20" s="2" t="str">
        <v>North</v>
      </c>
      <c r="D20" s="2" t="str" cm="1">
        <f t="array" ref="D20:I20">TRANSPOSE(_xlfn._xlws.SORT(_xlfn.UNIQUE(_xlfn._xlws.FILTER(dtbCommunities[Community],dtbCommunities[IslandAreaCouncil]=A20))))</f>
        <v>Lelubeebee</v>
      </c>
      <c r="E20" s="2" t="str">
        <v>Loliaro</v>
      </c>
      <c r="F20" s="2" t="str">
        <v>Nignira</v>
      </c>
      <c r="G20" s="2" t="str">
        <v>Vandea</v>
      </c>
      <c r="H20" s="2" t="str">
        <v>Wiloreke</v>
      </c>
      <c r="I20" s="2" t="str">
        <v>Wolimbio</v>
      </c>
    </row>
    <row r="21" spans="1:20" x14ac:dyDescent="0.3">
      <c r="A21" s="2" t="str">
        <v>Ambea-South</v>
      </c>
      <c r="B21" s="2" t="str" cm="1">
        <f t="array" ref="B21:C21">_xlfn.TEXTSPLIT(A21,"-")</f>
        <v>Ambea</v>
      </c>
      <c r="C21" s="2" t="str">
        <v>South</v>
      </c>
      <c r="D21" s="2" t="str" cm="1">
        <f t="array" ref="D21:E21">TRANSPOSE(_xlfn._xlws.SORT(_xlfn.UNIQUE(_xlfn._xlws.FILTER(dtbCommunities[Community],dtbCommunities[IslandAreaCouncil]=A21))))</f>
        <v>Sukai</v>
      </c>
      <c r="E21" s="2" t="str">
        <v>Vonuembelu (Radcliff)</v>
      </c>
    </row>
    <row r="22" spans="1:20" x14ac:dyDescent="0.3">
      <c r="A22" s="2" t="str">
        <v>Milu-East</v>
      </c>
      <c r="B22" s="2" t="str" cm="1">
        <f t="array" ref="B22:C22">_xlfn.TEXTSPLIT(A22,"-")</f>
        <v>Milu</v>
      </c>
      <c r="C22" s="2" t="str">
        <v>East</v>
      </c>
      <c r="D22" s="2" t="str" cm="1">
        <f t="array" ref="D22:H22">TRANSPOSE(_xlfn._xlws.SORT(_xlfn.UNIQUE(_xlfn._xlws.FILTER(dtbCommunities[Community],dtbCommunities[IslandAreaCouncil]=A22))))</f>
        <v>Aliwure</v>
      </c>
      <c r="E22" s="2" t="str">
        <v>Ambehuri</v>
      </c>
      <c r="F22" s="2" t="str">
        <v>Avoneriru/Atiruboi</v>
      </c>
      <c r="G22" s="2" t="str">
        <v>Sumerondu</v>
      </c>
      <c r="H22" s="2" t="str">
        <v>Wausilo</v>
      </c>
    </row>
    <row r="23" spans="1:20" x14ac:dyDescent="0.3">
      <c r="A23" s="2" t="str">
        <v>Santa-South East</v>
      </c>
      <c r="B23" s="2" t="str" cm="1">
        <f t="array" ref="B23:C23">_xlfn.TEXTSPLIT(A23,"-")</f>
        <v>Santa</v>
      </c>
      <c r="C23" s="2" t="str">
        <v>South East</v>
      </c>
      <c r="D23" s="2" t="str" cm="1">
        <f t="array" ref="D23:R23">TRANSPOSE(_xlfn._xlws.SORT(_xlfn.UNIQUE(_xlfn._xlws.FILTER(dtbCommunities[Community],dtbCommunities[IslandAreaCouncil]=A23))))</f>
        <v>Amserun/Fanapumu</v>
      </c>
      <c r="E23" s="2" t="str">
        <v>Avenomolui</v>
      </c>
      <c r="F23" s="2" t="str">
        <v>Baolo</v>
      </c>
      <c r="G23" s="2" t="str">
        <v>Blick Whirf</v>
      </c>
      <c r="H23" s="2" t="str">
        <v>Bumbou</v>
      </c>
      <c r="I23" s="2" t="str">
        <v>Goorgi Loni Plantetiun</v>
      </c>
      <c r="J23" s="2" t="str">
        <v>Metuvele</v>
      </c>
      <c r="K23" s="2" t="str">
        <v>Nimpaluiri</v>
      </c>
      <c r="L23" s="2" t="str">
        <v>Purt Lotua</v>
      </c>
      <c r="M23" s="2" t="str">
        <v>Santurtur</v>
      </c>
      <c r="N23" s="2" t="str">
        <v>Searoy/Ravoniu</v>
      </c>
      <c r="O23" s="2" t="str">
        <v>Taprumi</v>
      </c>
      <c r="P23" s="2" t="str">
        <v>Tebanamuloi</v>
      </c>
      <c r="Q23" s="2" t="str">
        <v>Tueve</v>
      </c>
      <c r="R23" s="2" t="str">
        <v>Tusopumote</v>
      </c>
    </row>
    <row r="24" spans="1:20" x14ac:dyDescent="0.3">
      <c r="A24" s="2" t="str">
        <v>Santa-South</v>
      </c>
      <c r="B24" s="2" t="str" cm="1">
        <f t="array" ref="B24:C24">_xlfn.TEXTSPLIT(A24,"-")</f>
        <v>Santa</v>
      </c>
      <c r="C24" s="2" t="str">
        <v>South</v>
      </c>
      <c r="D24" s="2" t="str" cm="1">
        <f t="array" ref="D24:P24">TRANSPOSE(_xlfn._xlws.SORT(_xlfn.UNIQUE(_xlfn._xlws.FILTER(dtbCommunities[Community],dtbCommunities[IslandAreaCouncil]=A24))))</f>
        <v>Aruku</v>
      </c>
      <c r="E24" s="2" t="str">
        <v>Hukiru</v>
      </c>
      <c r="F24" s="2" t="str">
        <v>Husevuiu</v>
      </c>
      <c r="G24" s="2" t="str">
        <v>Ipuyotu</v>
      </c>
      <c r="H24" s="2" t="str">
        <v>Nakure</v>
      </c>
      <c r="I24" s="2" t="str">
        <v>Neanotese</v>
      </c>
      <c r="J24" s="2" t="str">
        <v>Nemalu/Wiilupe</v>
      </c>
      <c r="K24" s="2" t="str">
        <v>Nesilosali</v>
      </c>
      <c r="L24" s="2" t="str">
        <v>Pekotaure</v>
      </c>
      <c r="M24" s="2" t="str">
        <v>Pulmal</v>
      </c>
      <c r="N24" s="2" t="str">
        <v>Teserako</v>
      </c>
      <c r="O24" s="2" t="str">
        <v>Tingiu</v>
      </c>
      <c r="P24" s="2" t="str">
        <v>Tinovesves</v>
      </c>
    </row>
    <row r="25" spans="1:20" x14ac:dyDescent="0.3">
      <c r="A25" s="2" t="str">
        <v>Milu-West</v>
      </c>
      <c r="B25" s="2" t="str" cm="1">
        <f t="array" ref="B25:C25">_xlfn.TEXTSPLIT(A25,"-")</f>
        <v>Milu</v>
      </c>
      <c r="C25" s="2" t="str">
        <v>West</v>
      </c>
      <c r="D25" s="2" t="str" cm="1">
        <f t="array" ref="D25:H25">TRANSPOSE(_xlfn._xlws.SORT(_xlfn.UNIQUE(_xlfn._xlws.FILTER(dtbCommunities[Community],dtbCommunities[IslandAreaCouncil]=A25))))</f>
        <v>Avanubale</v>
      </c>
      <c r="E25" s="2" t="str">
        <v>Avinetora Sictar 1</v>
      </c>
      <c r="F25" s="2" t="str">
        <v>Avonitira Sacter 2</v>
      </c>
      <c r="G25" s="2" t="str">
        <v>Avunetaru Socter 3</v>
      </c>
      <c r="H25" s="2" t="str">
        <v>Bug Nasti</v>
      </c>
    </row>
    <row r="26" spans="1:20" x14ac:dyDescent="0.3">
      <c r="A26" s="2" t="str">
        <v>Santa-East</v>
      </c>
      <c r="B26" s="2" t="str" cm="1">
        <f t="array" ref="B26:C26">_xlfn.TEXTSPLIT(A26,"-")</f>
        <v>Santa</v>
      </c>
      <c r="C26" s="2" t="str">
        <v>East</v>
      </c>
      <c r="D26" s="2" t="str" cm="1">
        <f t="array" ref="D26:T26">TRANSPOSE(_xlfn._xlws.SORT(_xlfn.UNIQUE(_xlfn._xlws.FILTER(dtbCommunities[Community],dtbCommunities[IslandAreaCouncil]=A26))))</f>
        <v>Bonu</v>
      </c>
      <c r="E26" s="2" t="str">
        <v>Bulliun</v>
      </c>
      <c r="F26" s="2" t="str">
        <v>Highorbear</v>
      </c>
      <c r="G26" s="2" t="str">
        <v>Kele</v>
      </c>
      <c r="H26" s="2" t="str">
        <v>Leluthe</v>
      </c>
      <c r="I26" s="2" t="str">
        <v>Lerwa</v>
      </c>
      <c r="J26" s="2" t="str">
        <v>Lorum</v>
      </c>
      <c r="K26" s="2" t="str">
        <v>Loterir (Copi Qauras)</v>
      </c>
      <c r="L26" s="2" t="str">
        <v>Lothi</v>
      </c>
      <c r="M26" s="2" t="str">
        <v>Lulak</v>
      </c>
      <c r="N26" s="2" t="str">
        <v>Luren</v>
      </c>
      <c r="O26" s="2" t="str">
        <v>Menaoc</v>
      </c>
      <c r="P26" s="2" t="str">
        <v>Nuteds</v>
      </c>
      <c r="Q26" s="2" t="str">
        <v>Part Olry</v>
      </c>
      <c r="R26" s="2" t="str">
        <v>Tholorep</v>
      </c>
      <c r="S26" s="2" t="str">
        <v>Vutnalou (Layerikur)</v>
      </c>
      <c r="T26" s="2" t="str">
        <v>Yekur</v>
      </c>
    </row>
    <row r="27" spans="1:20" x14ac:dyDescent="0.3">
      <c r="A27" s="2" t="str">
        <v>Santa-West</v>
      </c>
      <c r="B27" s="2" t="str" cm="1">
        <f t="array" ref="B27:C27">_xlfn.TEXTSPLIT(A27,"-")</f>
        <v>Santa</v>
      </c>
      <c r="C27" s="2" t="str">
        <v>West</v>
      </c>
      <c r="D27" s="2" t="str" cm="1">
        <f t="array" ref="D27:K27">TRANSPOSE(_xlfn._xlws.SORT(_xlfn.UNIQUE(_xlfn._xlws.FILTER(dtbCommunities[Community],dtbCommunities[IslandAreaCouncil]=A27))))</f>
        <v>Eluu</v>
      </c>
      <c r="E27" s="2" t="str">
        <v>Karupee</v>
      </c>
      <c r="F27" s="2" t="str">
        <v>Karuvunempi</v>
      </c>
      <c r="G27" s="2" t="str">
        <v>Lendori</v>
      </c>
      <c r="H27" s="2" t="str">
        <v>Tusmeti</v>
      </c>
      <c r="I27" s="2" t="str">
        <v>Vasuloe</v>
      </c>
      <c r="J27" s="2" t="str">
        <v>Wanavue</v>
      </c>
      <c r="K27" s="2" t="str">
        <v>Wuse</v>
      </c>
    </row>
    <row r="28" spans="1:20" x14ac:dyDescent="0.3">
      <c r="A28" s="2" t="str">
        <v>Santa-North</v>
      </c>
      <c r="B28" s="2" t="str" cm="1">
        <f t="array" ref="B28:C28">_xlfn.TEXTSPLIT(A28,"-")</f>
        <v>Santa</v>
      </c>
      <c r="C28" s="2" t="str">
        <v>North</v>
      </c>
      <c r="D28" s="2" t="str" cm="1">
        <f t="array" ref="D28:M28">TRANSPOSE(_xlfn._xlws.SORT(_xlfn.UNIQUE(_xlfn._xlws.FILTER(dtbCommunities[Community],dtbCommunities[IslandAreaCouncil]=A28))))</f>
        <v>Malei</v>
      </c>
      <c r="E28" s="2" t="str">
        <v>Matantos</v>
      </c>
      <c r="F28" s="2" t="str">
        <v>Miluvaku</v>
      </c>
      <c r="G28" s="2" t="str">
        <v>Pilvas</v>
      </c>
      <c r="H28" s="2" t="str">
        <v>Posuna</v>
      </c>
      <c r="I28" s="2" t="str">
        <v>Telomuka</v>
      </c>
      <c r="J28" s="2" t="str">
        <v>Titura</v>
      </c>
      <c r="K28" s="2" t="str">
        <v>Tuvonipue</v>
      </c>
      <c r="L28" s="2" t="str">
        <v>Unop</v>
      </c>
      <c r="M28" s="2" t="str">
        <v>Vasu</v>
      </c>
    </row>
    <row r="29" spans="1:20" x14ac:dyDescent="0.3">
      <c r="A29" s="2" t="str">
        <v>Santa-North West</v>
      </c>
      <c r="B29" s="2" t="str" cm="1">
        <f t="array" ref="B29:C29">_xlfn.TEXTSPLIT(A29,"-")</f>
        <v>Santa</v>
      </c>
      <c r="C29" s="2" t="str">
        <v>North West</v>
      </c>
      <c r="D29" s="2" t="str" cm="1">
        <f t="array" ref="D29:O29">TRANSPOSE(_xlfn._xlws.SORT(_xlfn.UNIQUE(_xlfn._xlws.FILTER(dtbCommunities[Community],dtbCommunities[IslandAreaCouncil]=A29))))</f>
        <v>Milpoo</v>
      </c>
      <c r="E29" s="2" t="str">
        <v>Nekako</v>
      </c>
      <c r="F29" s="2" t="str">
        <v>Olbio</v>
      </c>
      <c r="G29" s="2" t="str">
        <v>Pinira</v>
      </c>
      <c r="H29" s="2" t="str">
        <v>Ponuel</v>
      </c>
      <c r="I29" s="2" t="str">
        <v>Pooraa</v>
      </c>
      <c r="J29" s="2" t="str">
        <v>Potawutu</v>
      </c>
      <c r="K29" s="2" t="str">
        <v>Revlape</v>
      </c>
      <c r="L29" s="2" t="str">
        <v>Salesoe</v>
      </c>
      <c r="M29" s="2" t="str">
        <v>Viagara</v>
      </c>
      <c r="N29" s="2" t="str">
        <v>Wanpeko</v>
      </c>
      <c r="O29" s="2" t="str">
        <v>Wunin</v>
      </c>
    </row>
    <row r="30" spans="1:20" x14ac:dyDescent="0.3">
      <c r="A30" s="2" t="str">
        <v>Eros-Vermele</v>
      </c>
      <c r="B30" s="2" t="str" cm="1">
        <f t="array" ref="B30:C30">_xlfn.TEXTSPLIT(A30,"-")</f>
        <v>Eros</v>
      </c>
      <c r="C30" s="2" t="str">
        <v>Vermele</v>
      </c>
      <c r="D30" s="2" t="str" cm="1">
        <f t="array" ref="D30:P30">TRANSPOSE(_xlfn._xlws.SORT(_xlfn.UNIQUE(_xlfn._xlws.FILTER(dtbCommunities[Community],dtbCommunities[IslandAreaCouncil]=A30))))</f>
        <v>Biia</v>
      </c>
      <c r="E30" s="2" t="str">
        <v>Brosbono</v>
      </c>
      <c r="F30" s="2" t="str">
        <v>Lamon Bey</v>
      </c>
      <c r="G30" s="2" t="str">
        <v>Lomiri</v>
      </c>
      <c r="H30" s="2" t="str">
        <v>Malvisu</v>
      </c>
      <c r="I30" s="2" t="str">
        <v>Ngalokumoli</v>
      </c>
      <c r="J30" s="2" t="str">
        <v>Ngolaporuo</v>
      </c>
      <c r="K30" s="2" t="str">
        <v>Ngulivosore</v>
      </c>
      <c r="L30" s="2" t="str">
        <v>Pungavoo</v>
      </c>
      <c r="M30" s="2" t="str">
        <v>Rawe</v>
      </c>
      <c r="N30" s="2" t="str">
        <v>Wilavoo</v>
      </c>
      <c r="O30" s="2" t="str">
        <v>Youpoo</v>
      </c>
      <c r="P30" s="2" t="str">
        <v>Yuck</v>
      </c>
    </row>
    <row r="31" spans="1:20" x14ac:dyDescent="0.3">
      <c r="A31" s="2" t="str">
        <v>Efite-East</v>
      </c>
      <c r="B31" s="2" t="str" cm="1">
        <f t="array" ref="B31:C31">_xlfn.TEXTSPLIT(A31,"-")</f>
        <v>Efite</v>
      </c>
      <c r="C31" s="2" t="str">
        <v>East</v>
      </c>
      <c r="D31" s="2" t="str" cm="1">
        <f t="array" ref="D31:I31">TRANSPOSE(_xlfn._xlws.SORT(_xlfn.UNIQUE(_xlfn._xlws.FILTER(dtbCommunities[Community],dtbCommunities[IslandAreaCouncil]=A31))))</f>
        <v>Bunena bey</v>
      </c>
      <c r="E31" s="2" t="str">
        <v>Epai</v>
      </c>
      <c r="F31" s="2" t="str">
        <v>Etun</v>
      </c>
      <c r="G31" s="2" t="str">
        <v>Firori</v>
      </c>
      <c r="H31" s="2" t="str">
        <v>Pongpang</v>
      </c>
      <c r="I31" s="2" t="str">
        <v>Runtapeo</v>
      </c>
    </row>
    <row r="32" spans="1:20" x14ac:dyDescent="0.3">
      <c r="A32" s="2" t="str">
        <v>Efite-Mali</v>
      </c>
      <c r="B32" s="2" t="str" cm="1">
        <f t="array" ref="B32:C32">_xlfn.TEXTSPLIT(A32,"-")</f>
        <v>Efite</v>
      </c>
      <c r="C32" s="2" t="str">
        <v>Mali</v>
      </c>
      <c r="D32" s="2" t="str" cm="1">
        <f t="array" ref="D32:G32">TRANSPOSE(_xlfn._xlws.SORT(_xlfn.UNIQUE(_xlfn._xlws.FILTER(dtbCommunities[Community],dtbCommunities[IslandAreaCouncil]=A32))))</f>
        <v>Blocksend</v>
      </c>
      <c r="E32" s="2" t="str">
        <v>Mala</v>
      </c>
      <c r="F32" s="2" t="str">
        <v>Melumaet</v>
      </c>
      <c r="G32" s="2" t="str">
        <v>Moli</v>
      </c>
    </row>
    <row r="33" spans="1:11" x14ac:dyDescent="0.3">
      <c r="A33" s="2" t="str">
        <v>Efite-North West</v>
      </c>
      <c r="B33" s="2" t="str" cm="1">
        <f t="array" ref="B33:C33">_xlfn.TEXTSPLIT(A33,"-")</f>
        <v>Efite</v>
      </c>
      <c r="C33" s="2" t="str">
        <v>North West</v>
      </c>
      <c r="D33" s="2" t="str" cm="1">
        <f t="array" ref="D33:K33">TRANSPOSE(_xlfn._xlws.SORT(_xlfn.UNIQUE(_xlfn._xlws.FILTER(dtbCommunities[Community],dtbCommunities[IslandAreaCouncil]=A33))))</f>
        <v>Bakare</v>
      </c>
      <c r="E33" s="2" t="str">
        <v>Lelepo</v>
      </c>
      <c r="F33" s="2" t="str">
        <v>Mangelilua</v>
      </c>
      <c r="G33" s="2" t="str">
        <v>Matun</v>
      </c>
      <c r="H33" s="2" t="str">
        <v>Savure</v>
      </c>
      <c r="I33" s="2" t="str">
        <v>Senoi</v>
      </c>
      <c r="J33" s="2" t="str">
        <v>Tesuriku</v>
      </c>
      <c r="K33" s="2" t="str">
        <v>Tinilui</v>
      </c>
    </row>
    <row r="34" spans="1:11" x14ac:dyDescent="0.3">
      <c r="A34" s="2" t="str">
        <v>Tangoruki-Tengireku</v>
      </c>
      <c r="B34" s="2" t="str" cm="1">
        <f t="array" ref="B34:C34">_xlfn.TEXTSPLIT(A34,"-")</f>
        <v>Tangoruki</v>
      </c>
      <c r="C34" s="2" t="str">
        <v>Tengireku</v>
      </c>
      <c r="D34" s="2" t="str" cm="1">
        <f t="array" ref="D34:G34">TRANSPOSE(_xlfn._xlws.SORT(_xlfn.UNIQUE(_xlfn._xlws.FILTER(dtbCommunities[Community],dtbCommunities[IslandAreaCouncil]=A34))))</f>
        <v>Bangunga</v>
      </c>
      <c r="E34" s="2" t="str">
        <v>Eriti</v>
      </c>
      <c r="F34" s="2" t="str">
        <v>Luwuema</v>
      </c>
      <c r="G34" s="2" t="str">
        <v>Tavuu</v>
      </c>
    </row>
    <row r="35" spans="1:11" x14ac:dyDescent="0.3">
      <c r="A35" s="2" t="str">
        <v>Efite-Eritap</v>
      </c>
      <c r="B35" s="2" t="str" cm="1">
        <f t="array" ref="B35:C35">_xlfn.TEXTSPLIT(A35,"-")</f>
        <v>Efite</v>
      </c>
      <c r="C35" s="2" t="str">
        <v>Eritap</v>
      </c>
      <c r="D35" s="2" t="str" cm="1">
        <f t="array" ref="D35:G35">TRANSPOSE(_xlfn._xlws.SORT(_xlfn.UNIQUE(_xlfn._xlws.FILTER(dtbCommunities[Community],dtbCommunities[IslandAreaCouncil]=A35))))</f>
        <v>Crystol blue</v>
      </c>
      <c r="E35" s="2" t="str">
        <v>Eretap Velluga</v>
      </c>
      <c r="F35" s="2" t="str">
        <v>Sherk Biy</v>
      </c>
      <c r="G35" s="2" t="str">
        <v>Tomenu</v>
      </c>
    </row>
    <row r="36" spans="1:11" x14ac:dyDescent="0.2">
      <c r="A36" s="2" t="str">
        <v>Efite-North</v>
      </c>
      <c r="B36" s="2" t="str" cm="1">
        <f t="array" ref="B36:C36">_xlfn.TEXTSPLIT(A36,"-")</f>
        <v>Efite</v>
      </c>
      <c r="C36" s="2" t="str">
        <v>North</v>
      </c>
      <c r="D36" s="2" t="str" cm="1">
        <f t="array" ref="D36:I36">TRANSPOSE(_xlfn._xlws.SORT(_xlfn.UNIQUE(_xlfn._xlws.FILTER(dtbCommunities[Community],dtbCommunities[IslandAreaCouncil]=A36))))</f>
        <v>Ekepo</v>
      </c>
      <c r="E36" s="2" t="str">
        <v>Emoe</v>
      </c>
      <c r="F36" s="2" t="str">
        <v>Epale</v>
      </c>
      <c r="G36" s="2" t="str">
        <v>Pounegeso</v>
      </c>
      <c r="H36" s="2" t="str">
        <v>Suimu</v>
      </c>
      <c r="I36" s="2" t="str">
        <v>Tukiri</v>
      </c>
    </row>
    <row r="37" spans="1:11" x14ac:dyDescent="0.2">
      <c r="A37" s="2" t="str">
        <v>Efite-Erokor</v>
      </c>
      <c r="B37" s="2" t="str" cm="1">
        <f t="array" ref="B37:C37">_xlfn.TEXTSPLIT(A37,"-")</f>
        <v>Efite</v>
      </c>
      <c r="C37" s="2" t="str">
        <v>Erokor</v>
      </c>
      <c r="D37" s="2" t="str" cm="1">
        <f t="array" ref="D37">TRANSPOSE(_xlfn._xlws.SORT(_xlfn.UNIQUE(_xlfn._xlws.FILTER(dtbCommunities[Community],dtbCommunities[IslandAreaCouncil]=A37))))</f>
        <v>Erukor</v>
      </c>
    </row>
    <row r="38" spans="1:11" x14ac:dyDescent="0.2">
      <c r="A38" s="2" t="str">
        <v>Eros-Yorso</v>
      </c>
      <c r="B38" s="2" t="str" cm="1">
        <f t="array" ref="B38:C38">_xlfn.TEXTSPLIT(A38,"-")</f>
        <v>Eros</v>
      </c>
      <c r="C38" s="2" t="str">
        <v>Yorso</v>
      </c>
      <c r="D38" s="2" t="str" cm="1">
        <f t="array" ref="D38:J38">TRANSPOSE(_xlfn._xlws.SORT(_xlfn.UNIQUE(_xlfn._xlws.FILTER(dtbCommunities[Community],dtbCommunities[IslandAreaCouncil]=A38))))</f>
        <v>Falokeru</v>
      </c>
      <c r="E38" s="2" t="str">
        <v>Lopelis</v>
      </c>
      <c r="F38" s="2" t="str">
        <v>Moapoko</v>
      </c>
      <c r="G38" s="2" t="str">
        <v>Orooi</v>
      </c>
      <c r="H38" s="2" t="str">
        <v>Sokuo</v>
      </c>
      <c r="I38" s="2" t="str">
        <v>Temeli</v>
      </c>
      <c r="J38" s="2" t="str">
        <v>Tuelui</v>
      </c>
    </row>
    <row r="39" spans="1:11" x14ac:dyDescent="0.2">
      <c r="A39" s="2" t="str">
        <v>Emao-Makumeu</v>
      </c>
      <c r="B39" s="2" t="str" cm="1">
        <f t="array" ref="B39:C39">_xlfn.TEXTSPLIT(A39,"-")</f>
        <v>Emao</v>
      </c>
      <c r="C39" s="2" t="str">
        <v>Makumeu</v>
      </c>
      <c r="D39" s="2" t="str" cm="1">
        <f t="array" ref="D39:I39">TRANSPOSE(_xlfn._xlws.SORT(_xlfn.UNIQUE(_xlfn._xlws.FILTER(dtbCommunities[Community],dtbCommunities[IslandAreaCouncil]=A39))))</f>
        <v>Faningi</v>
      </c>
      <c r="E39" s="2" t="str">
        <v>Moketeu</v>
      </c>
      <c r="F39" s="2" t="str">
        <v>Mureo</v>
      </c>
      <c r="G39" s="2" t="str">
        <v>Singove</v>
      </c>
      <c r="H39" s="2" t="str">
        <v>Tongemua</v>
      </c>
      <c r="I39" s="2" t="str">
        <v>Veatunu</v>
      </c>
    </row>
    <row r="40" spans="1:11" x14ac:dyDescent="0.2">
      <c r="A40" s="2" t="str">
        <v>Eros-Varmaol</v>
      </c>
      <c r="B40" s="2" t="str" cm="1">
        <f t="array" ref="B40:C40">_xlfn.TEXTSPLIT(A40,"-")</f>
        <v>Eros</v>
      </c>
      <c r="C40" s="2" t="str">
        <v>Varmaol</v>
      </c>
      <c r="D40" s="2" t="str" cm="1">
        <f t="array" ref="D40:K40">TRANSPOSE(_xlfn._xlws.SORT(_xlfn.UNIQUE(_xlfn._xlws.FILTER(dtbCommunities[Community],dtbCommunities[IslandAreaCouncil]=A40))))</f>
        <v>Burimbu/Musai</v>
      </c>
      <c r="E40" s="2" t="str">
        <v>Jomismuu</v>
      </c>
      <c r="F40" s="2" t="str">
        <v>Mipfoleu</v>
      </c>
      <c r="G40" s="2" t="str">
        <v>Puland</v>
      </c>
      <c r="H40" s="2" t="str">
        <v>Rivaleo</v>
      </c>
      <c r="I40" s="2" t="str">
        <v>Sare</v>
      </c>
      <c r="J40" s="2" t="str">
        <v>Toloku</v>
      </c>
      <c r="K40" s="2" t="str">
        <v>Wembi</v>
      </c>
    </row>
    <row r="41" spans="1:11" x14ac:dyDescent="0.2">
      <c r="A41" s="2" t="str">
        <v>Efite-Iferi</v>
      </c>
      <c r="B41" s="2" t="str" cm="1">
        <f t="array" ref="B41:C41">_xlfn.TEXTSPLIT(A41,"-")</f>
        <v>Efite</v>
      </c>
      <c r="C41" s="2" t="str">
        <v>Iferi</v>
      </c>
      <c r="D41" s="2" t="str" cm="1">
        <f t="array" ref="D41:E41">TRANSPOSE(_xlfn._xlws.SORT(_xlfn.UNIQUE(_xlfn._xlws.FILTER(dtbCommunities[Community],dtbCommunities[IslandAreaCouncil]=A41))))</f>
        <v>Iforo</v>
      </c>
      <c r="E41" s="2" t="str">
        <v>Ifura</v>
      </c>
    </row>
    <row r="42" spans="1:11" x14ac:dyDescent="0.2">
      <c r="A42" s="2" t="str">
        <v>Pili-Ngana &amp; Pala</v>
      </c>
      <c r="B42" s="2" t="str" cm="1">
        <f t="array" ref="B42:C42">_xlfn.TEXTSPLIT(A42,"-")</f>
        <v>Pili</v>
      </c>
      <c r="C42" s="2" t="str">
        <v>Ngana &amp; Pala</v>
      </c>
      <c r="D42" s="2" t="str" cm="1">
        <f t="array" ref="D42:G42">TRANSPOSE(_xlfn._xlws.SORT(_xlfn.UNIQUE(_xlfn._xlws.FILTER(dtbCommunities[Community],dtbCommunities[IslandAreaCouncil]=A42))))</f>
        <v>Luonemao</v>
      </c>
      <c r="E42" s="2" t="str">
        <v>Peluuru</v>
      </c>
      <c r="F42" s="2" t="str">
        <v>Waroseviu</v>
      </c>
      <c r="G42" s="2" t="str">
        <v>Woraoro</v>
      </c>
    </row>
    <row r="43" spans="1:11" x14ac:dyDescent="0.2">
      <c r="A43" s="2" t="str">
        <v>Emie-Emoi</v>
      </c>
      <c r="B43" s="2" t="str" cm="1">
        <f t="array" ref="B43:C43">_xlfn.TEXTSPLIT(A43,"-")</f>
        <v>Emie</v>
      </c>
      <c r="C43" s="2" t="str">
        <v>Emoi</v>
      </c>
      <c r="D43" s="2" t="str" cm="1">
        <f t="array" ref="D43:G43">TRANSPOSE(_xlfn._xlws.SORT(_xlfn.UNIQUE(_xlfn._xlws.FILTER(dtbCommunities[Community],dtbCommunities[IslandAreaCouncil]=A43))))</f>
        <v>Laoseka</v>
      </c>
      <c r="E43" s="2" t="str">
        <v xml:space="preserve">Muree </v>
      </c>
      <c r="F43" s="2" t="str">
        <v>Ngereo</v>
      </c>
      <c r="G43" s="2" t="str">
        <v>Wiune</v>
      </c>
    </row>
    <row r="44" spans="1:11" x14ac:dyDescent="0.2">
      <c r="A44" s="2" t="str">
        <v>Eros-Virse</v>
      </c>
      <c r="B44" s="2" t="str" cm="1">
        <f t="array" ref="B44:C44">_xlfn.TEXTSPLIT(A44,"-")</f>
        <v>Eros</v>
      </c>
      <c r="C44" s="2" t="str">
        <v>Virse</v>
      </c>
      <c r="D44" s="2" t="str" cm="1">
        <f t="array" ref="D44:I44">TRANSPOSE(_xlfn._xlws.SORT(_xlfn.UNIQUE(_xlfn._xlws.FILTER(dtbCommunities[Community],dtbCommunities[IslandAreaCouncil]=A44))))</f>
        <v>Lokupeu</v>
      </c>
      <c r="E44" s="2" t="str">
        <v>Morio</v>
      </c>
      <c r="F44" s="2" t="str">
        <v>Nekoora</v>
      </c>
      <c r="G44" s="2" t="str">
        <v>Nguli</v>
      </c>
      <c r="H44" s="2" t="str">
        <v>Niva</v>
      </c>
      <c r="I44" s="2" t="str">
        <v>Nuvunowa</v>
      </c>
    </row>
    <row r="45" spans="1:11" x14ac:dyDescent="0.2">
      <c r="A45" s="2" t="str">
        <v>Tengai-Tingoo</v>
      </c>
      <c r="B45" s="2" t="str" cm="1">
        <f t="array" ref="B45:C45">_xlfn.TEXTSPLIT(A45,"-")</f>
        <v>Tengai</v>
      </c>
      <c r="C45" s="2" t="str">
        <v>Tingoo</v>
      </c>
      <c r="D45" s="2" t="str" cm="1">
        <f t="array" ref="D45:H45">TRANSPOSE(_xlfn._xlws.SORT(_xlfn.UNIQUE(_xlfn._xlws.FILTER(dtbCommunities[Community],dtbCommunities[IslandAreaCouncil]=A45))))</f>
        <v>Lepilii</v>
      </c>
      <c r="E45" s="2" t="str">
        <v>Mengoresa</v>
      </c>
      <c r="F45" s="2" t="str">
        <v>Moree</v>
      </c>
      <c r="G45" s="2" t="str">
        <v>Penito</v>
      </c>
      <c r="H45" s="2" t="str">
        <v>Ravinge</v>
      </c>
    </row>
    <row r="46" spans="1:11" x14ac:dyDescent="0.2">
      <c r="A46" s="2" t="str">
        <v>Makura-Makumeu</v>
      </c>
      <c r="B46" s="2" t="str" cm="1">
        <f t="array" ref="B46:C46">_xlfn.TEXTSPLIT(A46,"-")</f>
        <v>Makura</v>
      </c>
      <c r="C46" s="2" t="str">
        <v>Makumeu</v>
      </c>
      <c r="D46" s="2" t="str" cm="1">
        <f t="array" ref="D46">TRANSPOSE(_xlfn._xlws.SORT(_xlfn.UNIQUE(_xlfn._xlws.FILTER(dtbCommunities[Community],dtbCommunities[IslandAreaCouncil]=A46))))</f>
        <v>Melakate</v>
      </c>
    </row>
    <row r="47" spans="1:11" x14ac:dyDescent="0.2">
      <c r="A47" s="2" t="str">
        <v>Mitesu-Makumeu</v>
      </c>
      <c r="B47" s="2" t="str" cm="1">
        <f t="array" ref="B47:C47">_xlfn.TEXTSPLIT(A47,"-")</f>
        <v>Mitesu</v>
      </c>
      <c r="C47" s="2" t="str">
        <v>Makumeu</v>
      </c>
      <c r="D47" s="2" t="str" cm="1">
        <f t="array" ref="D47">TRANSPOSE(_xlfn._xlws.SORT(_xlfn.UNIQUE(_xlfn._xlws.FILTER(dtbCommunities[Community],dtbCommunities[IslandAreaCouncil]=A47))))</f>
        <v>Neaseng</v>
      </c>
    </row>
    <row r="48" spans="1:11" x14ac:dyDescent="0.2">
      <c r="A48" s="2" t="str">
        <v>Ngone-Ngana &amp; Pala</v>
      </c>
      <c r="B48" s="2" t="str" cm="1">
        <f t="array" ref="B48:C48">_xlfn.TEXTSPLIT(A48,"-")</f>
        <v>Ngone</v>
      </c>
      <c r="C48" s="2" t="str">
        <v>Ngana &amp; Pala</v>
      </c>
      <c r="D48" s="2" t="str" cm="1">
        <f t="array" ref="D48:H48">TRANSPOSE(_xlfn._xlws.SORT(_xlfn.UNIQUE(_xlfn._xlws.FILTER(dtbCommunities[Community],dtbCommunities[IslandAreaCouncil]=A48))))</f>
        <v>Nukapi</v>
      </c>
      <c r="E48" s="2" t="str">
        <v>Takilasoa</v>
      </c>
      <c r="F48" s="2" t="str">
        <v>Unokap</v>
      </c>
      <c r="G48" s="2" t="str">
        <v>Utunlang</v>
      </c>
      <c r="H48" s="2" t="str">
        <v>Wirilapa</v>
      </c>
    </row>
    <row r="49" spans="1:23" x14ac:dyDescent="0.2">
      <c r="A49" s="2" t="str">
        <v>Efite-Pengu</v>
      </c>
      <c r="B49" s="2" t="str" cm="1">
        <f t="array" ref="B49:C49">_xlfn.TEXTSPLIT(A49,"-")</f>
        <v>Efite</v>
      </c>
      <c r="C49" s="2" t="str">
        <v>Pengu</v>
      </c>
      <c r="D49" s="2" t="str" cm="1">
        <f t="array" ref="D49">TRANSPOSE(_xlfn._xlws.SORT(_xlfn.UNIQUE(_xlfn._xlws.FILTER(dtbCommunities[Community],dtbCommunities[IslandAreaCouncil]=A49))))</f>
        <v>Pongi</v>
      </c>
    </row>
    <row r="50" spans="1:23" x14ac:dyDescent="0.2">
      <c r="A50" s="2" t="str">
        <v>Anoetyam-Anoatyom</v>
      </c>
      <c r="B50" s="2" t="str" cm="1">
        <f t="array" ref="B50:C50">_xlfn.TEXTSPLIT(A50,"-")</f>
        <v>Anoetyam</v>
      </c>
      <c r="C50" s="2" t="str">
        <v>Anoatyom</v>
      </c>
      <c r="D50" s="2" t="str" cm="1">
        <f t="array" ref="D50:M50">TRANSPOSE(_xlfn._xlws.SORT(_xlfn.UNIQUE(_xlfn._xlws.FILTER(dtbCommunities[Community],dtbCommunities[IslandAreaCouncil]=A50))))</f>
        <v>Analphuneyeg</v>
      </c>
      <c r="E50" s="2" t="str">
        <v>Anawimet</v>
      </c>
      <c r="F50" s="2" t="str">
        <v>Anediwiaa</v>
      </c>
      <c r="G50" s="2" t="str">
        <v>Aneyic</v>
      </c>
      <c r="H50" s="2" t="str">
        <v>Anopladey</v>
      </c>
      <c r="I50" s="2" t="str">
        <v>Anowenshu</v>
      </c>
      <c r="J50" s="2" t="str">
        <v>Anulgheuit</v>
      </c>
      <c r="K50" s="2" t="str">
        <v>Inep</v>
      </c>
      <c r="L50" s="2" t="str">
        <v>Umutch</v>
      </c>
      <c r="M50" s="2" t="str">
        <v>Utchi</v>
      </c>
    </row>
    <row r="51" spans="1:23" x14ac:dyDescent="0.2">
      <c r="A51" s="2" t="str">
        <v>Tanne-West</v>
      </c>
      <c r="B51" s="2" t="str" cm="1">
        <f t="array" ref="B51:C51">_xlfn.TEXTSPLIT(A51,"-")</f>
        <v>Tanne</v>
      </c>
      <c r="C51" s="2" t="str">
        <v>West</v>
      </c>
      <c r="D51" s="2" t="str" cm="1">
        <f t="array" ref="D51:W51">TRANSPOSE(_xlfn._xlws.SORT(_xlfn.UNIQUE(_xlfn._xlws.FILTER(dtbCommunities[Community],dtbCommunities[IslandAreaCouncil]=A51))))</f>
        <v>Bethul</v>
      </c>
      <c r="E51" s="2" t="str">
        <v>Iminuku</v>
      </c>
      <c r="F51" s="2" t="str">
        <v>Imoalunu</v>
      </c>
      <c r="G51" s="2" t="str">
        <v>Ipik</v>
      </c>
      <c r="H51" s="2" t="str">
        <v>Irenuep</v>
      </c>
      <c r="I51" s="2" t="str">
        <v>Iseke</v>
      </c>
      <c r="J51" s="2" t="str">
        <v>Isini</v>
      </c>
      <c r="K51" s="2" t="str">
        <v>Itonghu</v>
      </c>
      <c r="L51" s="2" t="str">
        <v>Iwiawan</v>
      </c>
      <c r="M51" s="2" t="str">
        <v>Iwiuk</v>
      </c>
      <c r="N51" s="2" t="str">
        <v>Lewinoai</v>
      </c>
      <c r="O51" s="2" t="str">
        <v>Lileilo</v>
      </c>
      <c r="P51" s="2" t="str">
        <v>Liwinatim</v>
      </c>
      <c r="Q51" s="2" t="str">
        <v>Liwkiteo</v>
      </c>
      <c r="R51" s="2" t="str">
        <v>Lonifa</v>
      </c>
      <c r="S51" s="2" t="str">
        <v>Lonus</v>
      </c>
      <c r="T51" s="2" t="str">
        <v>Lumkeul</v>
      </c>
      <c r="U51" s="2" t="str">
        <v>Luwnapkemom</v>
      </c>
      <c r="V51" s="2" t="str">
        <v>Newonumripan</v>
      </c>
      <c r="W51" s="2" t="str">
        <v>Whetugress</v>
      </c>
    </row>
    <row r="52" spans="1:23" x14ac:dyDescent="0.2">
      <c r="A52" s="2" t="str">
        <v>Errormenge-North</v>
      </c>
      <c r="B52" s="2" t="str" cm="1">
        <f t="array" ref="B52:C52">_xlfn.TEXTSPLIT(A52,"-")</f>
        <v>Errormenge</v>
      </c>
      <c r="C52" s="2" t="str">
        <v>North</v>
      </c>
      <c r="D52" s="2" t="str" cm="1">
        <f t="array" ref="D52:I52">TRANSPOSE(_xlfn._xlws.SORT(_xlfn.UNIQUE(_xlfn._xlws.FILTER(dtbCommunities[Community],dtbCommunities[IslandAreaCouncil]=A52))))</f>
        <v>Dillen's Buy</v>
      </c>
      <c r="E52" s="2" t="str">
        <v>Ipute</v>
      </c>
      <c r="F52" s="2" t="str">
        <v>Port Nervun</v>
      </c>
      <c r="G52" s="2" t="str">
        <v>Potosupsup</v>
      </c>
      <c r="H52" s="2" t="str">
        <v>Totarvitwa</v>
      </c>
      <c r="I52" s="2" t="str">
        <v>Twits</v>
      </c>
    </row>
    <row r="53" spans="1:23" x14ac:dyDescent="0.2">
      <c r="A53" s="2" t="str">
        <v>Tanne-East</v>
      </c>
      <c r="B53" s="2" t="str" cm="1">
        <f t="array" ref="B53:C53">_xlfn.TEXTSPLIT(A53,"-")</f>
        <v>Tanne</v>
      </c>
      <c r="C53" s="2" t="str">
        <v>East</v>
      </c>
      <c r="D53" s="2" t="str" cm="1">
        <f t="array" ref="D53:M53">TRANSPOSE(_xlfn._xlws.SORT(_xlfn.UNIQUE(_xlfn._xlws.FILTER(dtbCommunities[Community],dtbCommunities[IslandAreaCouncil]=A53))))</f>
        <v>Enamokel</v>
      </c>
      <c r="E53" s="2" t="str">
        <v>Enolgunie</v>
      </c>
      <c r="F53" s="2" t="str">
        <v>Iopkupin</v>
      </c>
      <c r="G53" s="2" t="str">
        <v>Ipekinien</v>
      </c>
      <c r="H53" s="2" t="str">
        <v>Kopontate</v>
      </c>
      <c r="I53" s="2" t="str">
        <v>Lawnoil Lebangtoa</v>
      </c>
      <c r="J53" s="2" t="str">
        <v>Leniu</v>
      </c>
      <c r="K53" s="2" t="str">
        <v>Pirt Rasolutean</v>
      </c>
      <c r="L53" s="2" t="str">
        <v>Selphur Buy</v>
      </c>
      <c r="M53" s="2" t="str">
        <v>Waasase</v>
      </c>
    </row>
    <row r="54" spans="1:23" x14ac:dyDescent="0.2">
      <c r="A54" s="2" t="str">
        <v>Tanne-North</v>
      </c>
      <c r="B54" s="2" t="str" cm="1">
        <f t="array" ref="B54:C54">_xlfn.TEXTSPLIT(A54,"-")</f>
        <v>Tanne</v>
      </c>
      <c r="C54" s="2" t="str">
        <v>North</v>
      </c>
      <c r="D54" s="2" t="str" cm="1">
        <f t="array" ref="D54:I54">TRANSPOSE(_xlfn._xlws.SORT(_xlfn.UNIQUE(_xlfn._xlws.FILTER(dtbCommunities[Community],dtbCommunities[IslandAreaCouncil]=A54))))</f>
        <v>Enulpat</v>
      </c>
      <c r="E54" s="2" t="str">
        <v>Lawnepuna</v>
      </c>
      <c r="F54" s="2" t="str">
        <v>Lawnupekil</v>
      </c>
      <c r="G54" s="2" t="str">
        <v>Lewnepukreen</v>
      </c>
      <c r="H54" s="2" t="str">
        <v>Lewnopuee</v>
      </c>
      <c r="I54" s="2" t="str">
        <v>Liwos</v>
      </c>
    </row>
    <row r="55" spans="1:23" x14ac:dyDescent="0.2">
      <c r="A55" s="2" t="str">
        <v>Tanne-South West</v>
      </c>
      <c r="B55" s="2" t="str" cm="1">
        <f t="array" ref="B55:C55">_xlfn.TEXTSPLIT(A55,"-")</f>
        <v>Tanne</v>
      </c>
      <c r="C55" s="2" t="str">
        <v>South West</v>
      </c>
      <c r="D55" s="2" t="str" cm="1">
        <f t="array" ref="D55:O55">TRANSPOSE(_xlfn._xlws.SORT(_xlfn.UNIQUE(_xlfn._xlws.FILTER(dtbCommunities[Community],dtbCommunities[IslandAreaCouncil]=A55))))</f>
        <v>Greon Peent</v>
      </c>
      <c r="E55" s="2" t="str">
        <v>Ikukihik</v>
      </c>
      <c r="F55" s="2" t="str">
        <v>Isokiwui</v>
      </c>
      <c r="G55" s="2" t="str">
        <v>Iteka</v>
      </c>
      <c r="H55" s="2" t="str">
        <v>Iwera</v>
      </c>
      <c r="I55" s="2" t="str">
        <v>Kwetipurun</v>
      </c>
      <c r="J55" s="2" t="str">
        <v>Kwounrapu</v>
      </c>
      <c r="K55" s="2" t="str">
        <v>Nimoroi</v>
      </c>
      <c r="L55" s="2" t="str">
        <v>Nohaba</v>
      </c>
      <c r="M55" s="2" t="str">
        <v>Yinbunin</v>
      </c>
      <c r="N55" s="2" t="str">
        <v>Yiruorong</v>
      </c>
      <c r="O55" s="2" t="str">
        <v>Yonkaenunapem</v>
      </c>
    </row>
    <row r="56" spans="1:23" x14ac:dyDescent="0.2">
      <c r="A56" s="2" t="str">
        <v>Tanne-South</v>
      </c>
      <c r="B56" s="2" t="str" cm="1">
        <f t="array" ref="B56:C56">_xlfn.TEXTSPLIT(A56,"-")</f>
        <v>Tanne</v>
      </c>
      <c r="C56" s="2" t="str">
        <v>South</v>
      </c>
      <c r="D56" s="2" t="str" cm="1">
        <f t="array" ref="D56:M56">TRANSPOSE(_xlfn._xlws.SORT(_xlfn.UNIQUE(_xlfn._xlws.FILTER(dtbCommunities[Community],dtbCommunities[IslandAreaCouncil]=A56))))</f>
        <v>Hegh Hill</v>
      </c>
      <c r="E56" s="2" t="str">
        <v>Ietuki</v>
      </c>
      <c r="F56" s="2" t="str">
        <v>Imorki</v>
      </c>
      <c r="G56" s="2" t="str">
        <v>Imuku</v>
      </c>
      <c r="H56" s="2" t="str">
        <v>Inamo</v>
      </c>
      <c r="I56" s="2" t="str">
        <v>Kwansowo</v>
      </c>
      <c r="J56" s="2" t="str">
        <v>Kwimuro</v>
      </c>
      <c r="K56" s="2" t="str">
        <v>Kwuriki</v>
      </c>
      <c r="L56" s="2" t="str">
        <v>Manaapen</v>
      </c>
      <c r="M56" s="2" t="str">
        <v>Yanmereo</v>
      </c>
    </row>
    <row r="57" spans="1:23" x14ac:dyDescent="0.2">
      <c r="A57" s="2" t="str">
        <v>Errormenge-South</v>
      </c>
      <c r="B57" s="2" t="str" cm="1">
        <f t="array" ref="B57:C57">_xlfn.TEXTSPLIT(A57,"-")</f>
        <v>Errormenge</v>
      </c>
      <c r="C57" s="2" t="str">
        <v>South</v>
      </c>
      <c r="D57" s="2" t="str" cm="1">
        <f t="array" ref="D57">TRANSPOSE(_xlfn._xlws.SORT(_xlfn.UNIQUE(_xlfn._xlws.FILTER(dtbCommunities[Community],dtbCommunities[IslandAreaCouncil]=A57))))</f>
        <v>Ifu</v>
      </c>
    </row>
    <row r="58" spans="1:23" x14ac:dyDescent="0.2">
      <c r="A58" s="2" t="str">
        <v>Fitene-Fotani</v>
      </c>
      <c r="B58" s="2" t="str" cm="1">
        <f t="array" ref="B58:C58">_xlfn.TEXTSPLIT(A58,"-")</f>
        <v>Fitene</v>
      </c>
      <c r="C58" s="2" t="str">
        <v>Fotani</v>
      </c>
      <c r="D58" s="2" t="str" cm="1">
        <f t="array" ref="D58:I58">TRANSPOSE(_xlfn._xlws.SORT(_xlfn.UNIQUE(_xlfn._xlws.FILTER(dtbCommunities[Community],dtbCommunities[IslandAreaCouncil]=A58))))</f>
        <v>Iesia</v>
      </c>
      <c r="E58" s="2" t="str">
        <v>Ihlaga</v>
      </c>
      <c r="F58" s="2" t="str">
        <v>Ishau</v>
      </c>
      <c r="G58" s="2" t="str">
        <v>Messoin bey</v>
      </c>
      <c r="H58" s="2" t="str">
        <v>Muck</v>
      </c>
      <c r="I58" s="2" t="str">
        <v>Teraimire</v>
      </c>
    </row>
    <row r="59" spans="1:23" x14ac:dyDescent="0.2">
      <c r="A59" s="2" t="str">
        <v>Anawi-Aniwe</v>
      </c>
      <c r="B59" s="2" t="str" cm="1">
        <f t="array" ref="B59:C59">_xlfn.TEXTSPLIT(A59,"-")</f>
        <v>Anawi</v>
      </c>
      <c r="C59" s="2" t="str">
        <v>Aniwe</v>
      </c>
      <c r="D59" s="2" t="str" cm="1">
        <f t="array" ref="D59:F59">TRANSPOSE(_xlfn._xlws.SORT(_xlfn.UNIQUE(_xlfn._xlws.FILTER(dtbCommunities[Community],dtbCommunities[IslandAreaCouncil]=A59))))</f>
        <v>Ikuekue</v>
      </c>
      <c r="E59" s="2" t="str">
        <v>Imata</v>
      </c>
      <c r="F59" s="2" t="str">
        <v>Isivea</v>
      </c>
    </row>
    <row r="60" spans="1:23" x14ac:dyDescent="0.2">
      <c r="A60" s="2" t="str">
        <v>Heu-Turrus</v>
      </c>
      <c r="B60" s="2" t="str" cm="1">
        <f t="array" ref="B60:C60">_xlfn.TEXTSPLIT(A60,"-")</f>
        <v>Heu</v>
      </c>
      <c r="C60" s="2" t="str">
        <v>Turrus</v>
      </c>
      <c r="D60" s="2" t="str" cm="1">
        <f t="array" ref="D60:G60">TRANSPOSE(_xlfn._xlws.SORT(_xlfn.UNIQUE(_xlfn._xlws.FILTER(dtbCommunities[Community],dtbCommunities[IslandAreaCouncil]=A60))))</f>
        <v>Totuse</v>
      </c>
      <c r="E60" s="2" t="str">
        <v>Yagivagemenu</v>
      </c>
      <c r="F60" s="2" t="str">
        <v>Yeqinu</v>
      </c>
      <c r="G60" s="2" t="str">
        <v>Yuwoe</v>
      </c>
    </row>
    <row r="61" spans="1:23" x14ac:dyDescent="0.2">
      <c r="A61" s="2" t="str">
        <v>Lih-Turrus</v>
      </c>
      <c r="B61" s="2" t="str" cm="1">
        <f t="array" ref="B61:C61">_xlfn.TEXTSPLIT(A61,"-")</f>
        <v>Lih</v>
      </c>
      <c r="C61" s="2" t="str">
        <v>Turrus</v>
      </c>
      <c r="D61" s="2" t="str" cm="1">
        <f t="array" ref="D61:E61">TRANSPOSE(_xlfn._xlws.SORT(_xlfn.UNIQUE(_xlfn._xlws.FILTER(dtbCommunities[Community],dtbCommunities[IslandAreaCouncil]=A61))))</f>
        <v>Langheroku</v>
      </c>
      <c r="E61" s="2" t="str">
        <v>Runeh</v>
      </c>
    </row>
    <row r="62" spans="1:23" x14ac:dyDescent="0.2">
      <c r="A62" s="2" t="str">
        <v>Tongue-Turrus</v>
      </c>
      <c r="B62" s="2" t="str" cm="1">
        <f t="array" ref="B62:C62">_xlfn.TEXTSPLIT(A62,"-")</f>
        <v>Tongue</v>
      </c>
      <c r="C62" s="2" t="str">
        <v>Turrus</v>
      </c>
      <c r="D62" s="2" t="str" cm="1">
        <f t="array" ref="D62">TRANSPOSE(_xlfn._xlws.SORT(_xlfn.UNIQUE(_xlfn._xlws.FILTER(dtbCommunities[Community],dtbCommunities[IslandAreaCouncil]=A62))))</f>
        <v>Lorik</v>
      </c>
    </row>
    <row r="63" spans="1:23" x14ac:dyDescent="0.2">
      <c r="A63" s="2" t="str">
        <v>Tiga-Turrus</v>
      </c>
      <c r="B63" s="2" t="str" cm="1">
        <f t="array" ref="B63:C63">_xlfn.TEXTSPLIT(A63,"-")</f>
        <v>Tiga</v>
      </c>
      <c r="C63" s="2" t="str">
        <v>Turrus</v>
      </c>
      <c r="D63" s="2" t="str" cm="1">
        <f t="array" ref="D63:E63">TRANSPOSE(_xlfn._xlws.SORT(_xlfn.UNIQUE(_xlfn._xlws.FILTER(dtbCommunities[Community],dtbCommunities[IslandAreaCouncil]=A63))))</f>
        <v>Leqel</v>
      </c>
      <c r="E63" s="2" t="str">
        <v>Lotoa</v>
      </c>
    </row>
    <row r="64" spans="1:23" x14ac:dyDescent="0.2">
      <c r="A64" s="2" t="str">
        <v>Uropiruparu-Uropiropere</v>
      </c>
      <c r="B64" s="2" t="str" cm="1">
        <f t="array" ref="B64:C64">_xlfn.TEXTSPLIT(A64,"-")</f>
        <v>Uropiruparu</v>
      </c>
      <c r="C64" s="2" t="str">
        <v>Uropiropere</v>
      </c>
      <c r="D64" s="2" t="str" cm="1">
        <f t="array" ref="D64:E64">TRANSPOSE(_xlfn._xlws.SORT(_xlfn.UNIQUE(_xlfn._xlws.FILTER(dtbCommunities[Community],dtbCommunities[IslandAreaCouncil]=A64))))</f>
        <v>Dovar's bey</v>
      </c>
      <c r="E64" s="2" t="str">
        <v>Lieluho</v>
      </c>
    </row>
    <row r="65" spans="1:13" x14ac:dyDescent="0.2">
      <c r="A65" s="2" t="str">
        <v>Cote Slavi-Mitu lavo</v>
      </c>
      <c r="B65" s="2" t="str" cm="1">
        <f t="array" ref="B65:C65">_xlfn.TEXTSPLIT(A65,"-")</f>
        <v>Cote Slavi</v>
      </c>
      <c r="C65" s="2" t="str">
        <v>Mitu lavo</v>
      </c>
      <c r="D65" s="2" t="str" cm="1">
        <f t="array" ref="D65:I65">TRANSPOSE(_xlfn._xlws.SORT(_xlfn.UNIQUE(_xlfn._xlws.FILTER(dtbCommunities[Community],dtbCommunities[IslandAreaCouncil]=A65))))</f>
        <v>Avor</v>
      </c>
      <c r="E65" s="2" t="str">
        <v>Nurenengmun</v>
      </c>
      <c r="F65" s="2" t="str">
        <v>Qwurumugdo</v>
      </c>
      <c r="G65" s="2" t="str">
        <v>Rih</v>
      </c>
      <c r="H65" s="2" t="str">
        <v>Tatelog</v>
      </c>
      <c r="I65" s="2" t="str">
        <v>Telvot</v>
      </c>
    </row>
    <row r="66" spans="1:13" x14ac:dyDescent="0.2">
      <c r="A66" s="2" t="str">
        <v xml:space="preserve">Meta -Meta </v>
      </c>
      <c r="B66" s="2" t="str" cm="1">
        <f t="array" ref="B66:C66">_xlfn.TEXTSPLIT(A66,"-")</f>
        <v xml:space="preserve">Meta </v>
      </c>
      <c r="C66" s="2" t="str">
        <v xml:space="preserve">Meta </v>
      </c>
      <c r="D66" s="2" t="str" cm="1">
        <f t="array" ref="D66:H66">TRANSPOSE(_xlfn._xlws.SORT(_xlfn.UNIQUE(_xlfn._xlws.FILTER(dtbCommunities[Community],dtbCommunities[IslandAreaCouncil]=A66))))</f>
        <v>Latewan</v>
      </c>
      <c r="E66" s="2" t="str">
        <v>Morio</v>
      </c>
      <c r="F66" s="2" t="str">
        <v>Siisodo Gig</v>
      </c>
      <c r="G66" s="2" t="str">
        <v>Tesmati</v>
      </c>
      <c r="H66" s="2" t="str">
        <v>Viveroo</v>
      </c>
    </row>
    <row r="67" spans="1:13" x14ac:dyDescent="0.2">
      <c r="A67" s="2" t="str">
        <v>Gases-East</v>
      </c>
      <c r="B67" s="2" t="str" cm="1">
        <f t="array" ref="B67:C67">_xlfn.TEXTSPLIT(A67,"-")</f>
        <v>Gases</v>
      </c>
      <c r="C67" s="2" t="str">
        <v>East</v>
      </c>
      <c r="D67" s="2" t="str" cm="1">
        <f t="array" ref="D67:M67">TRANSPOSE(_xlfn._xlws.SORT(_xlfn.UNIQUE(_xlfn._xlws.FILTER(dtbCommunities[Community],dtbCommunities[IslandAreaCouncil]=A67))))</f>
        <v>Awerar</v>
      </c>
      <c r="E67" s="2" t="str">
        <v>Bonguron</v>
      </c>
      <c r="F67" s="2" t="str">
        <v>Lamegho</v>
      </c>
      <c r="G67" s="2" t="str">
        <v>Lominmin</v>
      </c>
      <c r="H67" s="2" t="str">
        <v>Lompit</v>
      </c>
      <c r="I67" s="2" t="str">
        <v>Namosuru</v>
      </c>
      <c r="J67" s="2" t="str">
        <v>Nemeng</v>
      </c>
      <c r="K67" s="2" t="str">
        <v>Seritu</v>
      </c>
      <c r="L67" s="2" t="str">
        <v>Torse</v>
      </c>
      <c r="M67" s="2" t="str">
        <v>Vitlos</v>
      </c>
    </row>
    <row r="68" spans="1:13" x14ac:dyDescent="0.2">
      <c r="A68" s="2" t="str">
        <v xml:space="preserve">Gases-West </v>
      </c>
      <c r="B68" s="2" t="str" cm="1">
        <f t="array" ref="B68:C68">_xlfn.TEXTSPLIT(A68,"-")</f>
        <v>Gases</v>
      </c>
      <c r="C68" s="2" t="str">
        <v xml:space="preserve">West </v>
      </c>
      <c r="D68" s="2" t="str" cm="1">
        <f t="array" ref="D68:L68">TRANSPOSE(_xlfn._xlws.SORT(_xlfn.UNIQUE(_xlfn._xlws.FILTER(dtbCommunities[Community],dtbCommunities[IslandAreaCouncil]=A68))))</f>
        <v>Boshmon boy</v>
      </c>
      <c r="E68" s="2" t="str">
        <v>Dalap</v>
      </c>
      <c r="F68" s="2" t="str">
        <v>Dirigk</v>
      </c>
      <c r="G68" s="2" t="str">
        <v>Kora</v>
      </c>
      <c r="H68" s="2" t="str">
        <v>Luvigvug</v>
      </c>
      <c r="I68" s="2" t="str">
        <v>Onter</v>
      </c>
      <c r="J68" s="2" t="str">
        <v>Peam</v>
      </c>
      <c r="K68" s="2" t="str">
        <v>Qiativotivi</v>
      </c>
      <c r="L68" s="2" t="str">
        <v>Qietoruiruu</v>
      </c>
    </row>
    <row r="69" spans="1:13" x14ac:dyDescent="0.2">
      <c r="A69" s="2" t="str">
        <v>Vinuilivu-East</v>
      </c>
      <c r="B69" s="2" t="str" cm="1">
        <f t="array" ref="B69:C69">_xlfn.TEXTSPLIT(A69,"-")</f>
        <v>Vinuilivu</v>
      </c>
      <c r="C69" s="2" t="str">
        <v>East</v>
      </c>
      <c r="D69" s="2" t="str" cm="1">
        <f t="array" ref="D69:M69">TRANSPOSE(_xlfn._xlws.SORT(_xlfn.UNIQUE(_xlfn._xlws.FILTER(dtbCommunities[Community],dtbCommunities[IslandAreaCouncil]=A69))))</f>
        <v>Ambek</v>
      </c>
      <c r="E69" s="2" t="str">
        <v>Divotwup</v>
      </c>
      <c r="F69" s="2" t="str">
        <v>Kehipuk</v>
      </c>
      <c r="G69" s="2" t="str">
        <v>Leso</v>
      </c>
      <c r="H69" s="2" t="str">
        <v>Lianeatek</v>
      </c>
      <c r="I69" s="2" t="str">
        <v>Maroloe</v>
      </c>
      <c r="J69" s="2" t="str">
        <v>Norogesul</v>
      </c>
      <c r="K69" s="2" t="str">
        <v>Pert Pittarsan</v>
      </c>
      <c r="L69" s="2" t="str">
        <v>Quinlop</v>
      </c>
      <c r="M69" s="2" t="str">
        <v>Vutip</v>
      </c>
    </row>
    <row r="70" spans="1:13" x14ac:dyDescent="0.2">
      <c r="A70" s="2" t="str">
        <v xml:space="preserve">Vinuilivu-West </v>
      </c>
      <c r="B70" s="2" t="str" cm="1">
        <f t="array" ref="B70:C70">_xlfn.TEXTSPLIT(A70,"-")</f>
        <v>Vinuilivu</v>
      </c>
      <c r="C70" s="2" t="str">
        <v xml:space="preserve">West </v>
      </c>
      <c r="D70" s="2" t="str" cm="1">
        <f t="array" ref="D70:I70">TRANSPOSE(_xlfn._xlws.SORT(_xlfn.UNIQUE(_xlfn._xlws.FILTER(dtbCommunities[Community],dtbCommunities[IslandAreaCouncil]=A70))))</f>
        <v>Burocrat</v>
      </c>
      <c r="E70" s="2" t="str">
        <v>Lien bay</v>
      </c>
      <c r="F70" s="2" t="str">
        <v>Messup</v>
      </c>
      <c r="G70" s="2" t="str">
        <v>Puka</v>
      </c>
      <c r="H70" s="2" t="str">
        <v>Veribosi</v>
      </c>
      <c r="I70" s="2" t="str">
        <v>Wusugo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223C2-7F79-6849-86DD-79F3F0715F6F}">
  <sheetPr codeName="Sheet1"/>
  <dimension ref="A3:E541"/>
  <sheetViews>
    <sheetView topLeftCell="A2" zoomScale="78" zoomScaleNormal="78" workbookViewId="0">
      <pane ySplit="2" topLeftCell="A501" activePane="bottomLeft" state="frozen"/>
      <selection activeCell="A2" sqref="A2"/>
      <selection pane="bottomLeft" activeCell="D517" sqref="D517"/>
    </sheetView>
  </sheetViews>
  <sheetFormatPr defaultColWidth="10.6640625" defaultRowHeight="18.75" x14ac:dyDescent="0.3"/>
  <cols>
    <col min="1" max="1" width="19.6640625" style="2" customWidth="1"/>
    <col min="2" max="2" width="18.83203125" style="2" customWidth="1"/>
    <col min="3" max="3" width="21.6640625" style="3" bestFit="1" customWidth="1"/>
    <col min="4" max="4" width="32.6640625" style="3" bestFit="1" customWidth="1"/>
    <col min="5" max="5" width="35.83203125" style="2" bestFit="1" customWidth="1"/>
    <col min="6" max="16384" width="10.6640625" style="2"/>
  </cols>
  <sheetData>
    <row r="3" spans="1:5" x14ac:dyDescent="0.3">
      <c r="A3" s="1" t="s">
        <v>24</v>
      </c>
      <c r="B3" s="1" t="s">
        <v>12</v>
      </c>
      <c r="C3" s="1" t="s">
        <v>25</v>
      </c>
      <c r="D3" s="1" t="s">
        <v>26</v>
      </c>
      <c r="E3" s="1" t="s">
        <v>613</v>
      </c>
    </row>
    <row r="4" spans="1:5" x14ac:dyDescent="0.3">
      <c r="A4" s="3" t="s">
        <v>78</v>
      </c>
      <c r="B4" s="3" t="s">
        <v>35</v>
      </c>
      <c r="C4" s="3" t="s">
        <v>13</v>
      </c>
      <c r="D4" s="3" t="s">
        <v>31</v>
      </c>
      <c r="E4" s="3" t="str">
        <f>dtbCommunities[[#This Row],[Island]]&amp;"-"&amp;dtbCommunities[[#This Row],[Area Council]]</f>
        <v>Malokilo-Central</v>
      </c>
    </row>
    <row r="5" spans="1:5" x14ac:dyDescent="0.3">
      <c r="A5" s="3" t="s">
        <v>78</v>
      </c>
      <c r="B5" s="3" t="s">
        <v>35</v>
      </c>
      <c r="C5" s="3" t="s">
        <v>13</v>
      </c>
      <c r="D5" s="3" t="s">
        <v>92</v>
      </c>
      <c r="E5" s="3" t="str">
        <f>dtbCommunities[[#This Row],[Island]]&amp;"-"&amp;dtbCommunities[[#This Row],[Area Council]]</f>
        <v>Malokilo-Central</v>
      </c>
    </row>
    <row r="6" spans="1:5" x14ac:dyDescent="0.3">
      <c r="A6" s="3" t="s">
        <v>78</v>
      </c>
      <c r="B6" s="3" t="s">
        <v>35</v>
      </c>
      <c r="C6" s="3" t="s">
        <v>17</v>
      </c>
      <c r="D6" s="3" t="s">
        <v>93</v>
      </c>
      <c r="E6" s="3" t="str">
        <f>dtbCommunities[[#This Row],[Island]]&amp;"-"&amp;dtbCommunities[[#This Row],[Area Council]]</f>
        <v>Malokilo-North East</v>
      </c>
    </row>
    <row r="7" spans="1:5" x14ac:dyDescent="0.3">
      <c r="A7" s="3" t="s">
        <v>78</v>
      </c>
      <c r="B7" s="3" t="s">
        <v>35</v>
      </c>
      <c r="C7" s="3" t="s">
        <v>17</v>
      </c>
      <c r="D7" s="3" t="s">
        <v>94</v>
      </c>
      <c r="E7" s="3" t="str">
        <f>dtbCommunities[[#This Row],[Island]]&amp;"-"&amp;dtbCommunities[[#This Row],[Area Council]]</f>
        <v>Malokilo-North East</v>
      </c>
    </row>
    <row r="8" spans="1:5" x14ac:dyDescent="0.3">
      <c r="A8" s="3" t="s">
        <v>78</v>
      </c>
      <c r="B8" s="3" t="s">
        <v>35</v>
      </c>
      <c r="C8" s="3" t="s">
        <v>13</v>
      </c>
      <c r="D8" s="3" t="s">
        <v>95</v>
      </c>
      <c r="E8" s="3" t="str">
        <f>dtbCommunities[[#This Row],[Island]]&amp;"-"&amp;dtbCommunities[[#This Row],[Area Council]]</f>
        <v>Malokilo-Central</v>
      </c>
    </row>
    <row r="9" spans="1:5" x14ac:dyDescent="0.3">
      <c r="A9" s="3" t="s">
        <v>78</v>
      </c>
      <c r="B9" s="3" t="s">
        <v>35</v>
      </c>
      <c r="C9" s="3" t="s">
        <v>13</v>
      </c>
      <c r="D9" s="3" t="s">
        <v>96</v>
      </c>
      <c r="E9" s="3" t="str">
        <f>dtbCommunities[[#This Row],[Island]]&amp;"-"&amp;dtbCommunities[[#This Row],[Area Council]]</f>
        <v>Malokilo-Central</v>
      </c>
    </row>
    <row r="10" spans="1:5" x14ac:dyDescent="0.3">
      <c r="A10" s="3" t="s">
        <v>78</v>
      </c>
      <c r="B10" s="3" t="s">
        <v>35</v>
      </c>
      <c r="C10" s="3" t="s">
        <v>19</v>
      </c>
      <c r="D10" s="3" t="s">
        <v>97</v>
      </c>
      <c r="E10" s="3" t="str">
        <f>dtbCommunities[[#This Row],[Island]]&amp;"-"&amp;dtbCommunities[[#This Row],[Area Council]]</f>
        <v>Malokilo-South West</v>
      </c>
    </row>
    <row r="11" spans="1:5" x14ac:dyDescent="0.3">
      <c r="A11" s="3" t="s">
        <v>78</v>
      </c>
      <c r="B11" s="3" t="s">
        <v>84</v>
      </c>
      <c r="C11" s="3" t="s">
        <v>18</v>
      </c>
      <c r="D11" s="3" t="s">
        <v>98</v>
      </c>
      <c r="E11" s="3" t="str">
        <f>dtbCommunities[[#This Row],[Island]]&amp;"-"&amp;dtbCommunities[[#This Row],[Area Council]]</f>
        <v>Embron-West</v>
      </c>
    </row>
    <row r="12" spans="1:5" x14ac:dyDescent="0.3">
      <c r="A12" s="3" t="s">
        <v>78</v>
      </c>
      <c r="B12" s="3" t="s">
        <v>84</v>
      </c>
      <c r="C12" s="3" t="s">
        <v>18</v>
      </c>
      <c r="D12" s="3" t="s">
        <v>99</v>
      </c>
      <c r="E12" s="3" t="str">
        <f>dtbCommunities[[#This Row],[Island]]&amp;"-"&amp;dtbCommunities[[#This Row],[Area Council]]</f>
        <v>Embron-West</v>
      </c>
    </row>
    <row r="13" spans="1:5" x14ac:dyDescent="0.3">
      <c r="A13" s="3" t="s">
        <v>78</v>
      </c>
      <c r="B13" s="3" t="s">
        <v>35</v>
      </c>
      <c r="C13" s="3" t="s">
        <v>19</v>
      </c>
      <c r="D13" s="3" t="s">
        <v>100</v>
      </c>
      <c r="E13" s="3" t="str">
        <f>dtbCommunities[[#This Row],[Island]]&amp;"-"&amp;dtbCommunities[[#This Row],[Area Council]]</f>
        <v>Malokilo-South West</v>
      </c>
    </row>
    <row r="14" spans="1:5" x14ac:dyDescent="0.3">
      <c r="A14" s="3" t="s">
        <v>78</v>
      </c>
      <c r="B14" s="3" t="s">
        <v>35</v>
      </c>
      <c r="C14" s="3" t="s">
        <v>19</v>
      </c>
      <c r="D14" s="3" t="s">
        <v>101</v>
      </c>
      <c r="E14" s="3" t="str">
        <f>dtbCommunities[[#This Row],[Island]]&amp;"-"&amp;dtbCommunities[[#This Row],[Area Council]]</f>
        <v>Malokilo-South West</v>
      </c>
    </row>
    <row r="15" spans="1:5" x14ac:dyDescent="0.3">
      <c r="A15" s="3" t="s">
        <v>78</v>
      </c>
      <c r="B15" s="3" t="s">
        <v>84</v>
      </c>
      <c r="C15" s="3" t="s">
        <v>20</v>
      </c>
      <c r="D15" s="1" t="s">
        <v>102</v>
      </c>
      <c r="E15" s="3" t="str">
        <f>dtbCommunities[[#This Row],[Island]]&amp;"-"&amp;dtbCommunities[[#This Row],[Area Council]]</f>
        <v>Embron-North</v>
      </c>
    </row>
    <row r="16" spans="1:5" x14ac:dyDescent="0.3">
      <c r="A16" s="3" t="s">
        <v>78</v>
      </c>
      <c r="B16" s="3" t="s">
        <v>35</v>
      </c>
      <c r="C16" s="3" t="s">
        <v>19</v>
      </c>
      <c r="D16" s="3" t="s">
        <v>103</v>
      </c>
      <c r="E16" s="3" t="str">
        <f>dtbCommunities[[#This Row],[Island]]&amp;"-"&amp;dtbCommunities[[#This Row],[Area Council]]</f>
        <v>Malokilo-South West</v>
      </c>
    </row>
    <row r="17" spans="1:5" x14ac:dyDescent="0.3">
      <c r="A17" s="3" t="s">
        <v>78</v>
      </c>
      <c r="B17" s="3" t="s">
        <v>35</v>
      </c>
      <c r="C17" s="3" t="s">
        <v>14</v>
      </c>
      <c r="D17" s="3" t="s">
        <v>5</v>
      </c>
      <c r="E17" s="3" t="str">
        <f>dtbCommunities[[#This Row],[Island]]&amp;"-"&amp;dtbCommunities[[#This Row],[Area Council]]</f>
        <v>Malokilo-South</v>
      </c>
    </row>
    <row r="18" spans="1:5" x14ac:dyDescent="0.3">
      <c r="A18" s="3" t="s">
        <v>78</v>
      </c>
      <c r="B18" s="3" t="s">
        <v>35</v>
      </c>
      <c r="C18" s="3" t="s">
        <v>17</v>
      </c>
      <c r="D18" s="3" t="s">
        <v>104</v>
      </c>
      <c r="E18" s="3" t="str">
        <f>dtbCommunities[[#This Row],[Island]]&amp;"-"&amp;dtbCommunities[[#This Row],[Area Council]]</f>
        <v>Malokilo-North East</v>
      </c>
    </row>
    <row r="19" spans="1:5" x14ac:dyDescent="0.3">
      <c r="A19" s="3" t="s">
        <v>78</v>
      </c>
      <c r="B19" s="3" t="s">
        <v>84</v>
      </c>
      <c r="C19" s="3" t="s">
        <v>16</v>
      </c>
      <c r="D19" s="3" t="s">
        <v>105</v>
      </c>
      <c r="E19" s="3" t="str">
        <f>dtbCommunities[[#This Row],[Island]]&amp;"-"&amp;dtbCommunities[[#This Row],[Area Council]]</f>
        <v>Embron-South East</v>
      </c>
    </row>
    <row r="20" spans="1:5" x14ac:dyDescent="0.3">
      <c r="A20" s="3" t="s">
        <v>78</v>
      </c>
      <c r="B20" s="3" t="s">
        <v>35</v>
      </c>
      <c r="C20" s="3" t="s">
        <v>14</v>
      </c>
      <c r="D20" s="3" t="s">
        <v>106</v>
      </c>
      <c r="E20" s="3" t="str">
        <f>dtbCommunities[[#This Row],[Island]]&amp;"-"&amp;dtbCommunities[[#This Row],[Area Council]]</f>
        <v>Malokilo-South</v>
      </c>
    </row>
    <row r="21" spans="1:5" x14ac:dyDescent="0.3">
      <c r="A21" s="3" t="s">
        <v>78</v>
      </c>
      <c r="B21" s="3" t="s">
        <v>35</v>
      </c>
      <c r="C21" s="3" t="s">
        <v>14</v>
      </c>
      <c r="D21" s="3" t="s">
        <v>107</v>
      </c>
      <c r="E21" s="3" t="str">
        <f>dtbCommunities[[#This Row],[Island]]&amp;"-"&amp;dtbCommunities[[#This Row],[Area Council]]</f>
        <v>Malokilo-South</v>
      </c>
    </row>
    <row r="22" spans="1:5" x14ac:dyDescent="0.3">
      <c r="A22" s="3" t="s">
        <v>78</v>
      </c>
      <c r="B22" s="3" t="s">
        <v>35</v>
      </c>
      <c r="C22" s="3" t="s">
        <v>14</v>
      </c>
      <c r="D22" s="3" t="s">
        <v>108</v>
      </c>
      <c r="E22" s="3" t="str">
        <f>dtbCommunities[[#This Row],[Island]]&amp;"-"&amp;dtbCommunities[[#This Row],[Area Council]]</f>
        <v>Malokilo-South</v>
      </c>
    </row>
    <row r="23" spans="1:5" x14ac:dyDescent="0.3">
      <c r="A23" s="3" t="s">
        <v>78</v>
      </c>
      <c r="B23" s="3" t="s">
        <v>84</v>
      </c>
      <c r="C23" s="3" t="s">
        <v>16</v>
      </c>
      <c r="D23" s="3" t="s">
        <v>109</v>
      </c>
      <c r="E23" s="3" t="str">
        <f>dtbCommunities[[#This Row],[Island]]&amp;"-"&amp;dtbCommunities[[#This Row],[Area Council]]</f>
        <v>Embron-South East</v>
      </c>
    </row>
    <row r="24" spans="1:5" x14ac:dyDescent="0.3">
      <c r="A24" s="3" t="s">
        <v>78</v>
      </c>
      <c r="B24" s="3" t="s">
        <v>35</v>
      </c>
      <c r="C24" s="3" t="s">
        <v>14</v>
      </c>
      <c r="D24" s="3" t="s">
        <v>91</v>
      </c>
      <c r="E24" s="3" t="str">
        <f>dtbCommunities[[#This Row],[Island]]&amp;"-"&amp;dtbCommunities[[#This Row],[Area Council]]</f>
        <v>Malokilo-South</v>
      </c>
    </row>
    <row r="25" spans="1:5" x14ac:dyDescent="0.3">
      <c r="A25" s="3" t="s">
        <v>78</v>
      </c>
      <c r="B25" s="3" t="s">
        <v>35</v>
      </c>
      <c r="C25" s="3" t="s">
        <v>16</v>
      </c>
      <c r="D25" s="3" t="s">
        <v>110</v>
      </c>
      <c r="E25" s="3" t="str">
        <f>dtbCommunities[[#This Row],[Island]]&amp;"-"&amp;dtbCommunities[[#This Row],[Area Council]]</f>
        <v>Malokilo-South East</v>
      </c>
    </row>
    <row r="26" spans="1:5" x14ac:dyDescent="0.3">
      <c r="A26" s="3" t="s">
        <v>78</v>
      </c>
      <c r="B26" s="3" t="s">
        <v>35</v>
      </c>
      <c r="C26" s="3" t="s">
        <v>16</v>
      </c>
      <c r="D26" s="3" t="s">
        <v>111</v>
      </c>
      <c r="E26" s="3" t="str">
        <f>dtbCommunities[[#This Row],[Island]]&amp;"-"&amp;dtbCommunities[[#This Row],[Area Council]]</f>
        <v>Malokilo-South East</v>
      </c>
    </row>
    <row r="27" spans="1:5" x14ac:dyDescent="0.3">
      <c r="A27" s="3" t="s">
        <v>78</v>
      </c>
      <c r="B27" s="3" t="s">
        <v>35</v>
      </c>
      <c r="C27" s="3" t="s">
        <v>16</v>
      </c>
      <c r="D27" s="3" t="s">
        <v>112</v>
      </c>
      <c r="E27" s="3" t="str">
        <f>dtbCommunities[[#This Row],[Island]]&amp;"-"&amp;dtbCommunities[[#This Row],[Area Council]]</f>
        <v>Malokilo-South East</v>
      </c>
    </row>
    <row r="28" spans="1:5" x14ac:dyDescent="0.3">
      <c r="A28" s="3" t="s">
        <v>78</v>
      </c>
      <c r="B28" s="3" t="s">
        <v>35</v>
      </c>
      <c r="C28" s="3" t="s">
        <v>16</v>
      </c>
      <c r="D28" s="3" t="s">
        <v>113</v>
      </c>
      <c r="E28" s="3" t="str">
        <f>dtbCommunities[[#This Row],[Island]]&amp;"-"&amp;dtbCommunities[[#This Row],[Area Council]]</f>
        <v>Malokilo-South East</v>
      </c>
    </row>
    <row r="29" spans="1:5" x14ac:dyDescent="0.3">
      <c r="A29" s="3" t="s">
        <v>78</v>
      </c>
      <c r="B29" s="3" t="s">
        <v>35</v>
      </c>
      <c r="C29" s="3" t="s">
        <v>16</v>
      </c>
      <c r="D29" s="3" t="s">
        <v>114</v>
      </c>
      <c r="E29" s="3" t="str">
        <f>dtbCommunities[[#This Row],[Island]]&amp;"-"&amp;dtbCommunities[[#This Row],[Area Council]]</f>
        <v>Malokilo-South East</v>
      </c>
    </row>
    <row r="30" spans="1:5" x14ac:dyDescent="0.3">
      <c r="A30" s="3" t="s">
        <v>78</v>
      </c>
      <c r="B30" s="3" t="s">
        <v>35</v>
      </c>
      <c r="C30" s="3" t="s">
        <v>16</v>
      </c>
      <c r="D30" s="3" t="s">
        <v>115</v>
      </c>
      <c r="E30" s="3" t="str">
        <f>dtbCommunities[[#This Row],[Island]]&amp;"-"&amp;dtbCommunities[[#This Row],[Area Council]]</f>
        <v>Malokilo-South East</v>
      </c>
    </row>
    <row r="31" spans="1:5" x14ac:dyDescent="0.3">
      <c r="A31" s="3" t="s">
        <v>78</v>
      </c>
      <c r="B31" s="3" t="s">
        <v>35</v>
      </c>
      <c r="C31" s="3" t="s">
        <v>16</v>
      </c>
      <c r="D31" s="3" t="s">
        <v>116</v>
      </c>
      <c r="E31" s="3" t="str">
        <f>dtbCommunities[[#This Row],[Island]]&amp;"-"&amp;dtbCommunities[[#This Row],[Area Council]]</f>
        <v>Malokilo-South East</v>
      </c>
    </row>
    <row r="32" spans="1:5" x14ac:dyDescent="0.3">
      <c r="A32" s="3" t="s">
        <v>78</v>
      </c>
      <c r="B32" s="3" t="s">
        <v>35</v>
      </c>
      <c r="C32" s="3" t="s">
        <v>16</v>
      </c>
      <c r="D32" s="3" t="s">
        <v>117</v>
      </c>
      <c r="E32" s="3" t="str">
        <f>dtbCommunities[[#This Row],[Island]]&amp;"-"&amp;dtbCommunities[[#This Row],[Area Council]]</f>
        <v>Malokilo-South East</v>
      </c>
    </row>
    <row r="33" spans="1:5" x14ac:dyDescent="0.3">
      <c r="A33" s="3" t="s">
        <v>78</v>
      </c>
      <c r="B33" s="3" t="s">
        <v>84</v>
      </c>
      <c r="C33" s="3" t="s">
        <v>16</v>
      </c>
      <c r="D33" s="3" t="s">
        <v>118</v>
      </c>
      <c r="E33" s="3" t="str">
        <f>dtbCommunities[[#This Row],[Island]]&amp;"-"&amp;dtbCommunities[[#This Row],[Area Council]]</f>
        <v>Embron-South East</v>
      </c>
    </row>
    <row r="34" spans="1:5" x14ac:dyDescent="0.3">
      <c r="A34" s="3" t="s">
        <v>78</v>
      </c>
      <c r="B34" s="3" t="s">
        <v>35</v>
      </c>
      <c r="C34" s="3" t="s">
        <v>13</v>
      </c>
      <c r="D34" s="3" t="s">
        <v>119</v>
      </c>
      <c r="E34" s="3" t="str">
        <f>dtbCommunities[[#This Row],[Island]]&amp;"-"&amp;dtbCommunities[[#This Row],[Area Council]]</f>
        <v>Malokilo-Central</v>
      </c>
    </row>
    <row r="35" spans="1:5" x14ac:dyDescent="0.3">
      <c r="A35" s="3" t="s">
        <v>78</v>
      </c>
      <c r="B35" s="3" t="s">
        <v>35</v>
      </c>
      <c r="C35" s="3" t="s">
        <v>13</v>
      </c>
      <c r="D35" s="3" t="s">
        <v>120</v>
      </c>
      <c r="E35" s="3" t="str">
        <f>dtbCommunities[[#This Row],[Island]]&amp;"-"&amp;dtbCommunities[[#This Row],[Area Council]]</f>
        <v>Malokilo-Central</v>
      </c>
    </row>
    <row r="36" spans="1:5" x14ac:dyDescent="0.3">
      <c r="A36" s="3" t="s">
        <v>78</v>
      </c>
      <c r="B36" s="3" t="s">
        <v>84</v>
      </c>
      <c r="C36" s="3" t="s">
        <v>18</v>
      </c>
      <c r="D36" s="3" t="s">
        <v>121</v>
      </c>
      <c r="E36" s="3" t="str">
        <f>dtbCommunities[[#This Row],[Island]]&amp;"-"&amp;dtbCommunities[[#This Row],[Area Council]]</f>
        <v>Embron-West</v>
      </c>
    </row>
    <row r="37" spans="1:5" x14ac:dyDescent="0.3">
      <c r="A37" s="3" t="s">
        <v>78</v>
      </c>
      <c r="B37" s="3" t="s">
        <v>84</v>
      </c>
      <c r="C37" s="3" t="s">
        <v>20</v>
      </c>
      <c r="D37" s="3" t="s">
        <v>122</v>
      </c>
      <c r="E37" s="3" t="str">
        <f>dtbCommunities[[#This Row],[Island]]&amp;"-"&amp;dtbCommunities[[#This Row],[Area Council]]</f>
        <v>Embron-North</v>
      </c>
    </row>
    <row r="38" spans="1:5" x14ac:dyDescent="0.3">
      <c r="A38" s="3" t="s">
        <v>78</v>
      </c>
      <c r="B38" s="3" t="s">
        <v>84</v>
      </c>
      <c r="C38" s="3" t="s">
        <v>20</v>
      </c>
      <c r="D38" s="3" t="s">
        <v>123</v>
      </c>
      <c r="E38" s="3" t="str">
        <f>dtbCommunities[[#This Row],[Island]]&amp;"-"&amp;dtbCommunities[[#This Row],[Area Council]]</f>
        <v>Embron-North</v>
      </c>
    </row>
    <row r="39" spans="1:5" x14ac:dyDescent="0.3">
      <c r="A39" s="3" t="s">
        <v>78</v>
      </c>
      <c r="B39" s="3" t="s">
        <v>84</v>
      </c>
      <c r="C39" s="3" t="s">
        <v>20</v>
      </c>
      <c r="D39" s="3" t="s">
        <v>124</v>
      </c>
      <c r="E39" s="3" t="str">
        <f>dtbCommunities[[#This Row],[Island]]&amp;"-"&amp;dtbCommunities[[#This Row],[Area Council]]</f>
        <v>Embron-North</v>
      </c>
    </row>
    <row r="40" spans="1:5" x14ac:dyDescent="0.3">
      <c r="A40" s="3" t="s">
        <v>78</v>
      </c>
      <c r="B40" s="3" t="s">
        <v>35</v>
      </c>
      <c r="C40" s="3" t="s">
        <v>13</v>
      </c>
      <c r="D40" s="3" t="s">
        <v>125</v>
      </c>
      <c r="E40" s="3" t="str">
        <f>dtbCommunities[[#This Row],[Island]]&amp;"-"&amp;dtbCommunities[[#This Row],[Area Council]]</f>
        <v>Malokilo-Central</v>
      </c>
    </row>
    <row r="41" spans="1:5" x14ac:dyDescent="0.3">
      <c r="A41" s="3" t="s">
        <v>78</v>
      </c>
      <c r="B41" s="3" t="s">
        <v>35</v>
      </c>
      <c r="C41" s="3" t="s">
        <v>13</v>
      </c>
      <c r="D41" s="3" t="s">
        <v>126</v>
      </c>
      <c r="E41" s="3" t="str">
        <f>dtbCommunities[[#This Row],[Island]]&amp;"-"&amp;dtbCommunities[[#This Row],[Area Council]]</f>
        <v>Malokilo-Central</v>
      </c>
    </row>
    <row r="42" spans="1:5" x14ac:dyDescent="0.3">
      <c r="A42" s="3" t="s">
        <v>78</v>
      </c>
      <c r="B42" s="3" t="s">
        <v>84</v>
      </c>
      <c r="C42" s="3" t="s">
        <v>20</v>
      </c>
      <c r="D42" s="3" t="s">
        <v>127</v>
      </c>
      <c r="E42" s="3" t="str">
        <f>dtbCommunities[[#This Row],[Island]]&amp;"-"&amp;dtbCommunities[[#This Row],[Area Council]]</f>
        <v>Embron-North</v>
      </c>
    </row>
    <row r="43" spans="1:5" x14ac:dyDescent="0.3">
      <c r="A43" s="3" t="s">
        <v>78</v>
      </c>
      <c r="B43" s="3" t="s">
        <v>84</v>
      </c>
      <c r="C43" s="3" t="s">
        <v>20</v>
      </c>
      <c r="D43" s="3" t="s">
        <v>128</v>
      </c>
      <c r="E43" s="3" t="str">
        <f>dtbCommunities[[#This Row],[Island]]&amp;"-"&amp;dtbCommunities[[#This Row],[Area Council]]</f>
        <v>Embron-North</v>
      </c>
    </row>
    <row r="44" spans="1:5" x14ac:dyDescent="0.3">
      <c r="A44" s="3" t="s">
        <v>78</v>
      </c>
      <c r="B44" s="3" t="s">
        <v>35</v>
      </c>
      <c r="C44" s="3" t="s">
        <v>13</v>
      </c>
      <c r="D44" s="3" t="s">
        <v>129</v>
      </c>
      <c r="E44" s="3" t="str">
        <f>dtbCommunities[[#This Row],[Island]]&amp;"-"&amp;dtbCommunities[[#This Row],[Area Council]]</f>
        <v>Malokilo-Central</v>
      </c>
    </row>
    <row r="45" spans="1:5" x14ac:dyDescent="0.3">
      <c r="A45" s="3" t="s">
        <v>78</v>
      </c>
      <c r="B45" s="3" t="s">
        <v>36</v>
      </c>
      <c r="C45" s="3" t="s">
        <v>57</v>
      </c>
      <c r="D45" s="3" t="s">
        <v>595</v>
      </c>
      <c r="E45" s="3" t="str">
        <f>dtbCommunities[[#This Row],[Island]]&amp;"-"&amp;dtbCommunities[[#This Row],[Area Council]]</f>
        <v>Piuma-Piemo</v>
      </c>
    </row>
    <row r="46" spans="1:5" x14ac:dyDescent="0.3">
      <c r="A46" s="3" t="s">
        <v>78</v>
      </c>
      <c r="B46" s="3" t="s">
        <v>84</v>
      </c>
      <c r="C46" s="3" t="s">
        <v>20</v>
      </c>
      <c r="D46" s="3" t="s">
        <v>130</v>
      </c>
      <c r="E46" s="3" t="str">
        <f>dtbCommunities[[#This Row],[Island]]&amp;"-"&amp;dtbCommunities[[#This Row],[Area Council]]</f>
        <v>Embron-North</v>
      </c>
    </row>
    <row r="47" spans="1:5" x14ac:dyDescent="0.3">
      <c r="A47" s="3" t="s">
        <v>78</v>
      </c>
      <c r="B47" s="3" t="s">
        <v>36</v>
      </c>
      <c r="C47" s="3" t="s">
        <v>57</v>
      </c>
      <c r="D47" s="3" t="s">
        <v>131</v>
      </c>
      <c r="E47" s="3" t="str">
        <f>dtbCommunities[[#This Row],[Island]]&amp;"-"&amp;dtbCommunities[[#This Row],[Area Council]]</f>
        <v>Piuma-Piemo</v>
      </c>
    </row>
    <row r="48" spans="1:5" x14ac:dyDescent="0.3">
      <c r="A48" s="3" t="s">
        <v>78</v>
      </c>
      <c r="B48" s="3" t="s">
        <v>35</v>
      </c>
      <c r="C48" s="3" t="s">
        <v>13</v>
      </c>
      <c r="D48" s="3" t="s">
        <v>132</v>
      </c>
      <c r="E48" s="3" t="str">
        <f>dtbCommunities[[#This Row],[Island]]&amp;"-"&amp;dtbCommunities[[#This Row],[Area Council]]</f>
        <v>Malokilo-Central</v>
      </c>
    </row>
    <row r="49" spans="1:5" x14ac:dyDescent="0.3">
      <c r="A49" s="3" t="s">
        <v>78</v>
      </c>
      <c r="B49" s="3" t="s">
        <v>36</v>
      </c>
      <c r="C49" s="3" t="s">
        <v>57</v>
      </c>
      <c r="D49" s="3" t="s">
        <v>133</v>
      </c>
      <c r="E49" s="3" t="str">
        <f>dtbCommunities[[#This Row],[Island]]&amp;"-"&amp;dtbCommunities[[#This Row],[Area Council]]</f>
        <v>Piuma-Piemo</v>
      </c>
    </row>
    <row r="50" spans="1:5" x14ac:dyDescent="0.3">
      <c r="A50" s="3" t="s">
        <v>78</v>
      </c>
      <c r="B50" s="3" t="s">
        <v>84</v>
      </c>
      <c r="C50" s="3" t="s">
        <v>20</v>
      </c>
      <c r="D50" s="3" t="s">
        <v>134</v>
      </c>
      <c r="E50" s="3" t="str">
        <f>dtbCommunities[[#This Row],[Island]]&amp;"-"&amp;dtbCommunities[[#This Row],[Area Council]]</f>
        <v>Embron-North</v>
      </c>
    </row>
    <row r="51" spans="1:5" x14ac:dyDescent="0.3">
      <c r="A51" s="3" t="s">
        <v>78</v>
      </c>
      <c r="B51" s="3" t="s">
        <v>35</v>
      </c>
      <c r="C51" s="3" t="s">
        <v>13</v>
      </c>
      <c r="D51" s="3" t="s">
        <v>135</v>
      </c>
      <c r="E51" s="3" t="str">
        <f>dtbCommunities[[#This Row],[Island]]&amp;"-"&amp;dtbCommunities[[#This Row],[Area Council]]</f>
        <v>Malokilo-Central</v>
      </c>
    </row>
    <row r="52" spans="1:5" x14ac:dyDescent="0.3">
      <c r="A52" s="3" t="s">
        <v>78</v>
      </c>
      <c r="B52" s="3" t="s">
        <v>84</v>
      </c>
      <c r="C52" s="3" t="s">
        <v>18</v>
      </c>
      <c r="D52" s="3" t="s">
        <v>136</v>
      </c>
      <c r="E52" s="3" t="str">
        <f>dtbCommunities[[#This Row],[Island]]&amp;"-"&amp;dtbCommunities[[#This Row],[Area Council]]</f>
        <v>Embron-West</v>
      </c>
    </row>
    <row r="53" spans="1:5" x14ac:dyDescent="0.3">
      <c r="A53" s="3" t="s">
        <v>78</v>
      </c>
      <c r="B53" s="3" t="s">
        <v>35</v>
      </c>
      <c r="C53" s="3" t="s">
        <v>13</v>
      </c>
      <c r="D53" s="3" t="s">
        <v>137</v>
      </c>
      <c r="E53" s="3" t="str">
        <f>dtbCommunities[[#This Row],[Island]]&amp;"-"&amp;dtbCommunities[[#This Row],[Area Council]]</f>
        <v>Malokilo-Central</v>
      </c>
    </row>
    <row r="54" spans="1:5" x14ac:dyDescent="0.3">
      <c r="A54" s="3" t="s">
        <v>78</v>
      </c>
      <c r="B54" s="3" t="s">
        <v>35</v>
      </c>
      <c r="C54" s="3" t="s">
        <v>17</v>
      </c>
      <c r="D54" s="3" t="s">
        <v>138</v>
      </c>
      <c r="E54" s="3" t="str">
        <f>dtbCommunities[[#This Row],[Island]]&amp;"-"&amp;dtbCommunities[[#This Row],[Area Council]]</f>
        <v>Malokilo-North East</v>
      </c>
    </row>
    <row r="55" spans="1:5" x14ac:dyDescent="0.3">
      <c r="A55" s="3" t="s">
        <v>78</v>
      </c>
      <c r="B55" s="3" t="s">
        <v>35</v>
      </c>
      <c r="C55" s="3" t="s">
        <v>17</v>
      </c>
      <c r="D55" s="3" t="s">
        <v>139</v>
      </c>
      <c r="E55" s="3" t="str">
        <f>dtbCommunities[[#This Row],[Island]]&amp;"-"&amp;dtbCommunities[[#This Row],[Area Council]]</f>
        <v>Malokilo-North East</v>
      </c>
    </row>
    <row r="56" spans="1:5" x14ac:dyDescent="0.3">
      <c r="A56" s="3" t="s">
        <v>78</v>
      </c>
      <c r="B56" s="3" t="s">
        <v>35</v>
      </c>
      <c r="C56" s="3" t="s">
        <v>17</v>
      </c>
      <c r="D56" s="3" t="s">
        <v>140</v>
      </c>
      <c r="E56" s="3" t="str">
        <f>dtbCommunities[[#This Row],[Island]]&amp;"-"&amp;dtbCommunities[[#This Row],[Area Council]]</f>
        <v>Malokilo-North East</v>
      </c>
    </row>
    <row r="57" spans="1:5" x14ac:dyDescent="0.3">
      <c r="A57" s="3" t="s">
        <v>78</v>
      </c>
      <c r="B57" s="3" t="s">
        <v>35</v>
      </c>
      <c r="C57" s="3" t="s">
        <v>17</v>
      </c>
      <c r="D57" s="3" t="s">
        <v>141</v>
      </c>
      <c r="E57" s="3" t="str">
        <f>dtbCommunities[[#This Row],[Island]]&amp;"-"&amp;dtbCommunities[[#This Row],[Area Council]]</f>
        <v>Malokilo-North East</v>
      </c>
    </row>
    <row r="58" spans="1:5" x14ac:dyDescent="0.3">
      <c r="A58" s="3" t="s">
        <v>78</v>
      </c>
      <c r="B58" s="3" t="s">
        <v>35</v>
      </c>
      <c r="C58" s="3" t="s">
        <v>17</v>
      </c>
      <c r="D58" s="3" t="s">
        <v>142</v>
      </c>
      <c r="E58" s="3" t="str">
        <f>dtbCommunities[[#This Row],[Island]]&amp;"-"&amp;dtbCommunities[[#This Row],[Area Council]]</f>
        <v>Malokilo-North East</v>
      </c>
    </row>
    <row r="59" spans="1:5" x14ac:dyDescent="0.3">
      <c r="A59" s="3" t="s">
        <v>78</v>
      </c>
      <c r="B59" s="3" t="s">
        <v>35</v>
      </c>
      <c r="C59" s="3" t="s">
        <v>17</v>
      </c>
      <c r="D59" s="3" t="s">
        <v>143</v>
      </c>
      <c r="E59" s="3" t="str">
        <f>dtbCommunities[[#This Row],[Island]]&amp;"-"&amp;dtbCommunities[[#This Row],[Area Council]]</f>
        <v>Malokilo-North East</v>
      </c>
    </row>
    <row r="60" spans="1:5" x14ac:dyDescent="0.3">
      <c r="A60" s="3" t="s">
        <v>78</v>
      </c>
      <c r="B60" s="3" t="s">
        <v>35</v>
      </c>
      <c r="C60" s="3" t="s">
        <v>17</v>
      </c>
      <c r="D60" s="3" t="s">
        <v>144</v>
      </c>
      <c r="E60" s="3" t="str">
        <f>dtbCommunities[[#This Row],[Island]]&amp;"-"&amp;dtbCommunities[[#This Row],[Area Council]]</f>
        <v>Malokilo-North East</v>
      </c>
    </row>
    <row r="61" spans="1:5" x14ac:dyDescent="0.3">
      <c r="A61" s="3" t="s">
        <v>78</v>
      </c>
      <c r="B61" s="3" t="s">
        <v>35</v>
      </c>
      <c r="C61" s="3" t="s">
        <v>17</v>
      </c>
      <c r="D61" s="3" t="s">
        <v>145</v>
      </c>
      <c r="E61" s="3" t="str">
        <f>dtbCommunities[[#This Row],[Island]]&amp;"-"&amp;dtbCommunities[[#This Row],[Area Council]]</f>
        <v>Malokilo-North East</v>
      </c>
    </row>
    <row r="62" spans="1:5" x14ac:dyDescent="0.3">
      <c r="A62" s="3" t="s">
        <v>78</v>
      </c>
      <c r="B62" s="3" t="s">
        <v>35</v>
      </c>
      <c r="C62" s="3" t="s">
        <v>17</v>
      </c>
      <c r="D62" s="3" t="s">
        <v>146</v>
      </c>
      <c r="E62" s="3" t="str">
        <f>dtbCommunities[[#This Row],[Island]]&amp;"-"&amp;dtbCommunities[[#This Row],[Area Council]]</f>
        <v>Malokilo-North East</v>
      </c>
    </row>
    <row r="63" spans="1:5" x14ac:dyDescent="0.3">
      <c r="A63" s="3" t="s">
        <v>78</v>
      </c>
      <c r="B63" s="3" t="s">
        <v>84</v>
      </c>
      <c r="C63" s="3" t="s">
        <v>20</v>
      </c>
      <c r="D63" s="3" t="s">
        <v>147</v>
      </c>
      <c r="E63" s="3" t="str">
        <f>dtbCommunities[[#This Row],[Island]]&amp;"-"&amp;dtbCommunities[[#This Row],[Area Council]]</f>
        <v>Embron-North</v>
      </c>
    </row>
    <row r="64" spans="1:5" x14ac:dyDescent="0.3">
      <c r="A64" s="3" t="s">
        <v>78</v>
      </c>
      <c r="B64" s="3" t="s">
        <v>36</v>
      </c>
      <c r="C64" s="3" t="s">
        <v>57</v>
      </c>
      <c r="D64" s="3" t="s">
        <v>148</v>
      </c>
      <c r="E64" s="3" t="str">
        <f>dtbCommunities[[#This Row],[Island]]&amp;"-"&amp;dtbCommunities[[#This Row],[Area Council]]</f>
        <v>Piuma-Piemo</v>
      </c>
    </row>
    <row r="65" spans="1:5" x14ac:dyDescent="0.3">
      <c r="A65" s="3" t="s">
        <v>78</v>
      </c>
      <c r="B65" s="3" t="s">
        <v>35</v>
      </c>
      <c r="C65" s="3" t="s">
        <v>17</v>
      </c>
      <c r="D65" s="3" t="s">
        <v>149</v>
      </c>
      <c r="E65" s="3" t="str">
        <f>dtbCommunities[[#This Row],[Island]]&amp;"-"&amp;dtbCommunities[[#This Row],[Area Council]]</f>
        <v>Malokilo-North East</v>
      </c>
    </row>
    <row r="66" spans="1:5" x14ac:dyDescent="0.3">
      <c r="A66" s="3" t="s">
        <v>78</v>
      </c>
      <c r="B66" s="3" t="s">
        <v>84</v>
      </c>
      <c r="C66" s="3" t="s">
        <v>18</v>
      </c>
      <c r="D66" s="1" t="s">
        <v>150</v>
      </c>
      <c r="E66" s="3" t="str">
        <f>dtbCommunities[[#This Row],[Island]]&amp;"-"&amp;dtbCommunities[[#This Row],[Area Council]]</f>
        <v>Embron-West</v>
      </c>
    </row>
    <row r="67" spans="1:5" x14ac:dyDescent="0.3">
      <c r="A67" s="3" t="s">
        <v>78</v>
      </c>
      <c r="B67" s="3" t="s">
        <v>84</v>
      </c>
      <c r="C67" s="3" t="s">
        <v>18</v>
      </c>
      <c r="D67" s="3" t="s">
        <v>151</v>
      </c>
      <c r="E67" s="3" t="str">
        <f>dtbCommunities[[#This Row],[Island]]&amp;"-"&amp;dtbCommunities[[#This Row],[Area Council]]</f>
        <v>Embron-West</v>
      </c>
    </row>
    <row r="68" spans="1:5" x14ac:dyDescent="0.3">
      <c r="A68" s="3" t="s">
        <v>78</v>
      </c>
      <c r="B68" s="3" t="s">
        <v>84</v>
      </c>
      <c r="C68" s="3" t="s">
        <v>18</v>
      </c>
      <c r="D68" s="3" t="s">
        <v>152</v>
      </c>
      <c r="E68" s="3" t="str">
        <f>dtbCommunities[[#This Row],[Island]]&amp;"-"&amp;dtbCommunities[[#This Row],[Area Council]]</f>
        <v>Embron-West</v>
      </c>
    </row>
    <row r="69" spans="1:5" x14ac:dyDescent="0.3">
      <c r="A69" s="3" t="s">
        <v>78</v>
      </c>
      <c r="B69" s="3" t="s">
        <v>84</v>
      </c>
      <c r="C69" s="3" t="s">
        <v>20</v>
      </c>
      <c r="D69" s="3" t="s">
        <v>153</v>
      </c>
      <c r="E69" s="3" t="str">
        <f>dtbCommunities[[#This Row],[Island]]&amp;"-"&amp;dtbCommunities[[#This Row],[Area Council]]</f>
        <v>Embron-North</v>
      </c>
    </row>
    <row r="70" spans="1:5" x14ac:dyDescent="0.3">
      <c r="A70" s="3" t="s">
        <v>78</v>
      </c>
      <c r="B70" s="3" t="s">
        <v>84</v>
      </c>
      <c r="C70" s="3" t="s">
        <v>20</v>
      </c>
      <c r="D70" s="3" t="s">
        <v>154</v>
      </c>
      <c r="E70" s="3" t="str">
        <f>dtbCommunities[[#This Row],[Island]]&amp;"-"&amp;dtbCommunities[[#This Row],[Area Council]]</f>
        <v>Embron-North</v>
      </c>
    </row>
    <row r="71" spans="1:5" x14ac:dyDescent="0.3">
      <c r="A71" s="3" t="s">
        <v>78</v>
      </c>
      <c r="B71" s="3" t="s">
        <v>35</v>
      </c>
      <c r="C71" s="3" t="s">
        <v>17</v>
      </c>
      <c r="D71" s="3" t="s">
        <v>155</v>
      </c>
      <c r="E71" s="3" t="str">
        <f>dtbCommunities[[#This Row],[Island]]&amp;"-"&amp;dtbCommunities[[#This Row],[Area Council]]</f>
        <v>Malokilo-North East</v>
      </c>
    </row>
    <row r="72" spans="1:5" x14ac:dyDescent="0.3">
      <c r="A72" s="3" t="s">
        <v>78</v>
      </c>
      <c r="B72" s="3" t="s">
        <v>35</v>
      </c>
      <c r="C72" s="3" t="s">
        <v>15</v>
      </c>
      <c r="D72" s="3" t="s">
        <v>156</v>
      </c>
      <c r="E72" s="3" t="str">
        <f>dtbCommunities[[#This Row],[Island]]&amp;"-"&amp;dtbCommunities[[#This Row],[Area Council]]</f>
        <v>Malokilo-North West</v>
      </c>
    </row>
    <row r="73" spans="1:5" x14ac:dyDescent="0.3">
      <c r="A73" s="3" t="s">
        <v>78</v>
      </c>
      <c r="B73" s="3" t="s">
        <v>36</v>
      </c>
      <c r="C73" s="3" t="s">
        <v>57</v>
      </c>
      <c r="D73" s="3" t="s">
        <v>157</v>
      </c>
      <c r="E73" s="3" t="str">
        <f>dtbCommunities[[#This Row],[Island]]&amp;"-"&amp;dtbCommunities[[#This Row],[Area Council]]</f>
        <v>Piuma-Piemo</v>
      </c>
    </row>
    <row r="74" spans="1:5" x14ac:dyDescent="0.3">
      <c r="A74" s="3" t="s">
        <v>78</v>
      </c>
      <c r="B74" s="3" t="s">
        <v>36</v>
      </c>
      <c r="C74" s="3" t="s">
        <v>57</v>
      </c>
      <c r="D74" s="3" t="s">
        <v>158</v>
      </c>
      <c r="E74" s="3" t="str">
        <f>dtbCommunities[[#This Row],[Island]]&amp;"-"&amp;dtbCommunities[[#This Row],[Area Council]]</f>
        <v>Piuma-Piemo</v>
      </c>
    </row>
    <row r="75" spans="1:5" x14ac:dyDescent="0.3">
      <c r="A75" s="3" t="s">
        <v>78</v>
      </c>
      <c r="B75" s="3" t="s">
        <v>36</v>
      </c>
      <c r="C75" s="3" t="s">
        <v>57</v>
      </c>
      <c r="D75" s="3" t="s">
        <v>159</v>
      </c>
      <c r="E75" s="3" t="str">
        <f>dtbCommunities[[#This Row],[Island]]&amp;"-"&amp;dtbCommunities[[#This Row],[Area Council]]</f>
        <v>Piuma-Piemo</v>
      </c>
    </row>
    <row r="76" spans="1:5" x14ac:dyDescent="0.3">
      <c r="A76" s="3" t="s">
        <v>78</v>
      </c>
      <c r="B76" s="3" t="s">
        <v>35</v>
      </c>
      <c r="C76" s="3" t="s">
        <v>15</v>
      </c>
      <c r="D76" s="3" t="s">
        <v>160</v>
      </c>
      <c r="E76" s="3" t="str">
        <f>dtbCommunities[[#This Row],[Island]]&amp;"-"&amp;dtbCommunities[[#This Row],[Area Council]]</f>
        <v>Malokilo-North West</v>
      </c>
    </row>
    <row r="77" spans="1:5" x14ac:dyDescent="0.3">
      <c r="A77" s="3" t="s">
        <v>78</v>
      </c>
      <c r="B77" s="3" t="s">
        <v>35</v>
      </c>
      <c r="C77" s="3" t="s">
        <v>15</v>
      </c>
      <c r="D77" s="3" t="s">
        <v>161</v>
      </c>
      <c r="E77" s="3" t="str">
        <f>dtbCommunities[[#This Row],[Island]]&amp;"-"&amp;dtbCommunities[[#This Row],[Area Council]]</f>
        <v>Malokilo-North West</v>
      </c>
    </row>
    <row r="78" spans="1:5" x14ac:dyDescent="0.3">
      <c r="A78" s="3" t="s">
        <v>78</v>
      </c>
      <c r="B78" s="3" t="s">
        <v>84</v>
      </c>
      <c r="C78" s="3" t="s">
        <v>20</v>
      </c>
      <c r="D78" s="3" t="s">
        <v>162</v>
      </c>
      <c r="E78" s="3" t="str">
        <f>dtbCommunities[[#This Row],[Island]]&amp;"-"&amp;dtbCommunities[[#This Row],[Area Council]]</f>
        <v>Embron-North</v>
      </c>
    </row>
    <row r="79" spans="1:5" x14ac:dyDescent="0.3">
      <c r="A79" s="3" t="s">
        <v>78</v>
      </c>
      <c r="B79" s="3" t="s">
        <v>35</v>
      </c>
      <c r="C79" s="3" t="s">
        <v>15</v>
      </c>
      <c r="D79" s="3" t="s">
        <v>163</v>
      </c>
      <c r="E79" s="3" t="str">
        <f>dtbCommunities[[#This Row],[Island]]&amp;"-"&amp;dtbCommunities[[#This Row],[Area Council]]</f>
        <v>Malokilo-North West</v>
      </c>
    </row>
    <row r="80" spans="1:5" x14ac:dyDescent="0.3">
      <c r="A80" s="3" t="s">
        <v>78</v>
      </c>
      <c r="B80" s="3" t="s">
        <v>35</v>
      </c>
      <c r="C80" s="3" t="s">
        <v>15</v>
      </c>
      <c r="D80" s="3" t="s">
        <v>164</v>
      </c>
      <c r="E80" s="3" t="str">
        <f>dtbCommunities[[#This Row],[Island]]&amp;"-"&amp;dtbCommunities[[#This Row],[Area Council]]</f>
        <v>Malokilo-North West</v>
      </c>
    </row>
    <row r="81" spans="1:5" x14ac:dyDescent="0.3">
      <c r="A81" s="3" t="s">
        <v>78</v>
      </c>
      <c r="B81" s="3" t="s">
        <v>35</v>
      </c>
      <c r="C81" s="3" t="s">
        <v>13</v>
      </c>
      <c r="D81" s="3" t="s">
        <v>596</v>
      </c>
      <c r="E81" s="3" t="str">
        <f>dtbCommunities[[#This Row],[Island]]&amp;"-"&amp;dtbCommunities[[#This Row],[Area Council]]</f>
        <v>Malokilo-Central</v>
      </c>
    </row>
    <row r="82" spans="1:5" x14ac:dyDescent="0.3">
      <c r="A82" s="3" t="s">
        <v>78</v>
      </c>
      <c r="B82" s="3" t="s">
        <v>84</v>
      </c>
      <c r="C82" s="3" t="s">
        <v>20</v>
      </c>
      <c r="D82" s="3" t="s">
        <v>165</v>
      </c>
      <c r="E82" s="3" t="str">
        <f>dtbCommunities[[#This Row],[Island]]&amp;"-"&amp;dtbCommunities[[#This Row],[Area Council]]</f>
        <v>Embron-North</v>
      </c>
    </row>
    <row r="83" spans="1:5" x14ac:dyDescent="0.3">
      <c r="A83" s="3" t="s">
        <v>78</v>
      </c>
      <c r="B83" s="3" t="s">
        <v>84</v>
      </c>
      <c r="C83" s="3" t="s">
        <v>16</v>
      </c>
      <c r="D83" s="3" t="s">
        <v>166</v>
      </c>
      <c r="E83" s="3" t="str">
        <f>dtbCommunities[[#This Row],[Island]]&amp;"-"&amp;dtbCommunities[[#This Row],[Area Council]]</f>
        <v>Embron-South East</v>
      </c>
    </row>
    <row r="84" spans="1:5" x14ac:dyDescent="0.3">
      <c r="A84" s="3" t="s">
        <v>78</v>
      </c>
      <c r="B84" s="3" t="s">
        <v>35</v>
      </c>
      <c r="C84" s="3" t="s">
        <v>15</v>
      </c>
      <c r="D84" s="3" t="s">
        <v>167</v>
      </c>
      <c r="E84" s="3" t="str">
        <f>dtbCommunities[[#This Row],[Island]]&amp;"-"&amp;dtbCommunities[[#This Row],[Area Council]]</f>
        <v>Malokilo-North West</v>
      </c>
    </row>
    <row r="85" spans="1:5" x14ac:dyDescent="0.3">
      <c r="A85" s="3" t="s">
        <v>78</v>
      </c>
      <c r="B85" s="3" t="s">
        <v>84</v>
      </c>
      <c r="C85" s="3" t="s">
        <v>20</v>
      </c>
      <c r="D85" s="3" t="s">
        <v>168</v>
      </c>
      <c r="E85" s="3" t="str">
        <f>dtbCommunities[[#This Row],[Island]]&amp;"-"&amp;dtbCommunities[[#This Row],[Area Council]]</f>
        <v>Embron-North</v>
      </c>
    </row>
    <row r="86" spans="1:5" x14ac:dyDescent="0.3">
      <c r="A86" s="3" t="s">
        <v>78</v>
      </c>
      <c r="B86" s="3" t="s">
        <v>35</v>
      </c>
      <c r="C86" s="3" t="s">
        <v>15</v>
      </c>
      <c r="D86" s="3" t="s">
        <v>169</v>
      </c>
      <c r="E86" s="3" t="str">
        <f>dtbCommunities[[#This Row],[Island]]&amp;"-"&amp;dtbCommunities[[#This Row],[Area Council]]</f>
        <v>Malokilo-North West</v>
      </c>
    </row>
    <row r="87" spans="1:5" x14ac:dyDescent="0.3">
      <c r="A87" s="3" t="s">
        <v>78</v>
      </c>
      <c r="B87" s="3" t="s">
        <v>84</v>
      </c>
      <c r="C87" s="3" t="s">
        <v>20</v>
      </c>
      <c r="D87" s="3" t="s">
        <v>0</v>
      </c>
      <c r="E87" s="3" t="str">
        <f>dtbCommunities[[#This Row],[Island]]&amp;"-"&amp;dtbCommunities[[#This Row],[Area Council]]</f>
        <v>Embron-North</v>
      </c>
    </row>
    <row r="88" spans="1:5" x14ac:dyDescent="0.3">
      <c r="A88" s="3" t="s">
        <v>78</v>
      </c>
      <c r="B88" s="3" t="s">
        <v>35</v>
      </c>
      <c r="C88" s="3" t="s">
        <v>15</v>
      </c>
      <c r="D88" s="3" t="s">
        <v>170</v>
      </c>
      <c r="E88" s="3" t="str">
        <f>dtbCommunities[[#This Row],[Island]]&amp;"-"&amp;dtbCommunities[[#This Row],[Area Council]]</f>
        <v>Malokilo-North West</v>
      </c>
    </row>
    <row r="89" spans="1:5" x14ac:dyDescent="0.3">
      <c r="A89" s="3" t="s">
        <v>78</v>
      </c>
      <c r="B89" s="3" t="s">
        <v>84</v>
      </c>
      <c r="C89" s="3" t="s">
        <v>18</v>
      </c>
      <c r="D89" s="1" t="s">
        <v>171</v>
      </c>
      <c r="E89" s="3" t="str">
        <f>dtbCommunities[[#This Row],[Island]]&amp;"-"&amp;dtbCommunities[[#This Row],[Area Council]]</f>
        <v>Embron-West</v>
      </c>
    </row>
    <row r="90" spans="1:5" x14ac:dyDescent="0.3">
      <c r="A90" s="3" t="s">
        <v>78</v>
      </c>
      <c r="B90" s="3" t="s">
        <v>84</v>
      </c>
      <c r="C90" s="3" t="s">
        <v>16</v>
      </c>
      <c r="D90" s="3" t="s">
        <v>172</v>
      </c>
      <c r="E90" s="3" t="str">
        <f>dtbCommunities[[#This Row],[Island]]&amp;"-"&amp;dtbCommunities[[#This Row],[Area Council]]</f>
        <v>Embron-South East</v>
      </c>
    </row>
    <row r="91" spans="1:5" x14ac:dyDescent="0.3">
      <c r="A91" s="3" t="s">
        <v>78</v>
      </c>
      <c r="B91" s="3" t="s">
        <v>35</v>
      </c>
      <c r="C91" s="3" t="s">
        <v>13</v>
      </c>
      <c r="D91" s="3" t="s">
        <v>173</v>
      </c>
      <c r="E91" s="3" t="str">
        <f>dtbCommunities[[#This Row],[Island]]&amp;"-"&amp;dtbCommunities[[#This Row],[Area Council]]</f>
        <v>Malokilo-Central</v>
      </c>
    </row>
    <row r="92" spans="1:5" x14ac:dyDescent="0.3">
      <c r="A92" s="3" t="s">
        <v>78</v>
      </c>
      <c r="B92" s="3" t="s">
        <v>35</v>
      </c>
      <c r="C92" s="3" t="s">
        <v>13</v>
      </c>
      <c r="D92" s="3" t="s">
        <v>597</v>
      </c>
      <c r="E92" s="3" t="str">
        <f>dtbCommunities[[#This Row],[Island]]&amp;"-"&amp;dtbCommunities[[#This Row],[Area Council]]</f>
        <v>Malokilo-Central</v>
      </c>
    </row>
    <row r="93" spans="1:5" x14ac:dyDescent="0.3">
      <c r="A93" s="3" t="s">
        <v>78</v>
      </c>
      <c r="B93" s="3" t="s">
        <v>84</v>
      </c>
      <c r="C93" s="3" t="s">
        <v>16</v>
      </c>
      <c r="D93" s="3" t="s">
        <v>174</v>
      </c>
      <c r="E93" s="3" t="str">
        <f>dtbCommunities[[#This Row],[Island]]&amp;"-"&amp;dtbCommunities[[#This Row],[Area Council]]</f>
        <v>Embron-South East</v>
      </c>
    </row>
    <row r="94" spans="1:5" x14ac:dyDescent="0.3">
      <c r="A94" s="3" t="s">
        <v>78</v>
      </c>
      <c r="B94" s="3" t="s">
        <v>35</v>
      </c>
      <c r="C94" s="3" t="s">
        <v>19</v>
      </c>
      <c r="D94" s="3" t="s">
        <v>175</v>
      </c>
      <c r="E94" s="3" t="str">
        <f>dtbCommunities[[#This Row],[Island]]&amp;"-"&amp;dtbCommunities[[#This Row],[Area Council]]</f>
        <v>Malokilo-South West</v>
      </c>
    </row>
    <row r="95" spans="1:5" x14ac:dyDescent="0.3">
      <c r="A95" s="3" t="s">
        <v>78</v>
      </c>
      <c r="B95" s="3" t="s">
        <v>35</v>
      </c>
      <c r="C95" s="3" t="s">
        <v>19</v>
      </c>
      <c r="D95" s="3" t="s">
        <v>7</v>
      </c>
      <c r="E95" s="3" t="str">
        <f>dtbCommunities[[#This Row],[Island]]&amp;"-"&amp;dtbCommunities[[#This Row],[Area Council]]</f>
        <v>Malokilo-South West</v>
      </c>
    </row>
    <row r="96" spans="1:5" x14ac:dyDescent="0.3">
      <c r="A96" s="3" t="s">
        <v>78</v>
      </c>
      <c r="B96" s="3" t="s">
        <v>35</v>
      </c>
      <c r="C96" s="3" t="s">
        <v>19</v>
      </c>
      <c r="D96" s="3" t="s">
        <v>176</v>
      </c>
      <c r="E96" s="3" t="str">
        <f>dtbCommunities[[#This Row],[Island]]&amp;"-"&amp;dtbCommunities[[#This Row],[Area Council]]</f>
        <v>Malokilo-South West</v>
      </c>
    </row>
    <row r="97" spans="1:5" x14ac:dyDescent="0.3">
      <c r="A97" s="3" t="s">
        <v>78</v>
      </c>
      <c r="B97" s="3" t="s">
        <v>35</v>
      </c>
      <c r="C97" s="3" t="s">
        <v>19</v>
      </c>
      <c r="D97" s="3" t="s">
        <v>177</v>
      </c>
      <c r="E97" s="3" t="str">
        <f>dtbCommunities[[#This Row],[Island]]&amp;"-"&amp;dtbCommunities[[#This Row],[Area Council]]</f>
        <v>Malokilo-South West</v>
      </c>
    </row>
    <row r="98" spans="1:5" x14ac:dyDescent="0.3">
      <c r="A98" s="3" t="s">
        <v>78</v>
      </c>
      <c r="B98" s="3" t="s">
        <v>35</v>
      </c>
      <c r="C98" s="3" t="s">
        <v>19</v>
      </c>
      <c r="D98" s="3" t="s">
        <v>178</v>
      </c>
      <c r="E98" s="3" t="str">
        <f>dtbCommunities[[#This Row],[Island]]&amp;"-"&amp;dtbCommunities[[#This Row],[Area Council]]</f>
        <v>Malokilo-South West</v>
      </c>
    </row>
    <row r="99" spans="1:5" x14ac:dyDescent="0.3">
      <c r="A99" s="3" t="s">
        <v>78</v>
      </c>
      <c r="B99" s="3" t="s">
        <v>35</v>
      </c>
      <c r="C99" s="3" t="s">
        <v>19</v>
      </c>
      <c r="D99" s="3" t="s">
        <v>179</v>
      </c>
      <c r="E99" s="3" t="str">
        <f>dtbCommunities[[#This Row],[Island]]&amp;"-"&amp;dtbCommunities[[#This Row],[Area Council]]</f>
        <v>Malokilo-South West</v>
      </c>
    </row>
    <row r="100" spans="1:5" x14ac:dyDescent="0.3">
      <c r="A100" s="3" t="s">
        <v>78</v>
      </c>
      <c r="B100" s="3" t="s">
        <v>84</v>
      </c>
      <c r="C100" s="3" t="s">
        <v>20</v>
      </c>
      <c r="D100" s="3" t="s">
        <v>180</v>
      </c>
      <c r="E100" s="3" t="str">
        <f>dtbCommunities[[#This Row],[Island]]&amp;"-"&amp;dtbCommunities[[#This Row],[Area Council]]</f>
        <v>Embron-North</v>
      </c>
    </row>
    <row r="101" spans="1:5" x14ac:dyDescent="0.3">
      <c r="A101" s="3" t="s">
        <v>78</v>
      </c>
      <c r="B101" s="3" t="s">
        <v>84</v>
      </c>
      <c r="C101" s="3" t="s">
        <v>20</v>
      </c>
      <c r="D101" s="3" t="s">
        <v>181</v>
      </c>
      <c r="E101" s="3" t="str">
        <f>dtbCommunities[[#This Row],[Island]]&amp;"-"&amp;dtbCommunities[[#This Row],[Area Council]]</f>
        <v>Embron-North</v>
      </c>
    </row>
    <row r="102" spans="1:5" ht="15" customHeight="1" x14ac:dyDescent="0.3">
      <c r="A102" s="3" t="s">
        <v>78</v>
      </c>
      <c r="B102" s="3" t="s">
        <v>35</v>
      </c>
      <c r="C102" s="3" t="s">
        <v>19</v>
      </c>
      <c r="D102" s="3" t="s">
        <v>182</v>
      </c>
      <c r="E102" s="3" t="str">
        <f>dtbCommunities[[#This Row],[Island]]&amp;"-"&amp;dtbCommunities[[#This Row],[Area Council]]</f>
        <v>Malokilo-South West</v>
      </c>
    </row>
    <row r="103" spans="1:5" x14ac:dyDescent="0.3">
      <c r="A103" s="3" t="s">
        <v>78</v>
      </c>
      <c r="B103" s="3" t="s">
        <v>35</v>
      </c>
      <c r="C103" s="3" t="s">
        <v>14</v>
      </c>
      <c r="D103" s="3" t="s">
        <v>598</v>
      </c>
      <c r="E103" s="3" t="str">
        <f>dtbCommunities[[#This Row],[Island]]&amp;"-"&amp;dtbCommunities[[#This Row],[Area Council]]</f>
        <v>Malokilo-South</v>
      </c>
    </row>
    <row r="104" spans="1:5" x14ac:dyDescent="0.3">
      <c r="A104" s="3" t="s">
        <v>78</v>
      </c>
      <c r="B104" s="3" t="s">
        <v>84</v>
      </c>
      <c r="C104" s="3" t="s">
        <v>20</v>
      </c>
      <c r="D104" s="3" t="s">
        <v>183</v>
      </c>
      <c r="E104" s="3" t="str">
        <f>dtbCommunities[[#This Row],[Island]]&amp;"-"&amp;dtbCommunities[[#This Row],[Area Council]]</f>
        <v>Embron-North</v>
      </c>
    </row>
    <row r="105" spans="1:5" x14ac:dyDescent="0.3">
      <c r="A105" s="3" t="s">
        <v>78</v>
      </c>
      <c r="B105" s="3" t="s">
        <v>84</v>
      </c>
      <c r="C105" s="3" t="s">
        <v>18</v>
      </c>
      <c r="D105" s="3" t="s">
        <v>184</v>
      </c>
      <c r="E105" s="3" t="str">
        <f>dtbCommunities[[#This Row],[Island]]&amp;"-"&amp;dtbCommunities[[#This Row],[Area Council]]</f>
        <v>Embron-West</v>
      </c>
    </row>
    <row r="106" spans="1:5" x14ac:dyDescent="0.3">
      <c r="A106" s="3" t="s">
        <v>78</v>
      </c>
      <c r="B106" s="3" t="s">
        <v>84</v>
      </c>
      <c r="C106" s="3" t="s">
        <v>20</v>
      </c>
      <c r="D106" s="1" t="s">
        <v>185</v>
      </c>
      <c r="E106" s="3" t="str">
        <f>dtbCommunities[[#This Row],[Island]]&amp;"-"&amp;dtbCommunities[[#This Row],[Area Council]]</f>
        <v>Embron-North</v>
      </c>
    </row>
    <row r="107" spans="1:5" x14ac:dyDescent="0.3">
      <c r="A107" s="3" t="s">
        <v>78</v>
      </c>
      <c r="B107" s="3" t="s">
        <v>35</v>
      </c>
      <c r="C107" s="3" t="s">
        <v>15</v>
      </c>
      <c r="D107" s="3" t="s">
        <v>186</v>
      </c>
      <c r="E107" s="3" t="str">
        <f>dtbCommunities[[#This Row],[Island]]&amp;"-"&amp;dtbCommunities[[#This Row],[Area Council]]</f>
        <v>Malokilo-North West</v>
      </c>
    </row>
    <row r="108" spans="1:5" x14ac:dyDescent="0.3">
      <c r="A108" s="3" t="s">
        <v>78</v>
      </c>
      <c r="B108" s="3" t="s">
        <v>35</v>
      </c>
      <c r="C108" s="3" t="s">
        <v>14</v>
      </c>
      <c r="D108" s="3" t="s">
        <v>187</v>
      </c>
      <c r="E108" s="3" t="str">
        <f>dtbCommunities[[#This Row],[Island]]&amp;"-"&amp;dtbCommunities[[#This Row],[Area Council]]</f>
        <v>Malokilo-South</v>
      </c>
    </row>
    <row r="109" spans="1:5" x14ac:dyDescent="0.3">
      <c r="A109" s="3" t="s">
        <v>78</v>
      </c>
      <c r="B109" s="3" t="s">
        <v>35</v>
      </c>
      <c r="C109" s="3" t="s">
        <v>14</v>
      </c>
      <c r="D109" s="3" t="s">
        <v>188</v>
      </c>
      <c r="E109" s="3" t="str">
        <f>dtbCommunities[[#This Row],[Island]]&amp;"-"&amp;dtbCommunities[[#This Row],[Area Council]]</f>
        <v>Malokilo-South</v>
      </c>
    </row>
    <row r="110" spans="1:5" x14ac:dyDescent="0.3">
      <c r="A110" s="3" t="s">
        <v>78</v>
      </c>
      <c r="B110" s="3" t="s">
        <v>84</v>
      </c>
      <c r="C110" s="3" t="s">
        <v>20</v>
      </c>
      <c r="D110" s="3" t="s">
        <v>189</v>
      </c>
      <c r="E110" s="3" t="str">
        <f>dtbCommunities[[#This Row],[Island]]&amp;"-"&amp;dtbCommunities[[#This Row],[Area Council]]</f>
        <v>Embron-North</v>
      </c>
    </row>
    <row r="111" spans="1:5" x14ac:dyDescent="0.3">
      <c r="A111" s="3" t="s">
        <v>78</v>
      </c>
      <c r="B111" s="3" t="s">
        <v>84</v>
      </c>
      <c r="C111" s="3" t="s">
        <v>20</v>
      </c>
      <c r="D111" s="3" t="s">
        <v>190</v>
      </c>
      <c r="E111" s="3" t="str">
        <f>dtbCommunities[[#This Row],[Island]]&amp;"-"&amp;dtbCommunities[[#This Row],[Area Council]]</f>
        <v>Embron-North</v>
      </c>
    </row>
    <row r="112" spans="1:5" x14ac:dyDescent="0.3">
      <c r="A112" s="3" t="s">
        <v>78</v>
      </c>
      <c r="B112" s="3" t="s">
        <v>84</v>
      </c>
      <c r="C112" s="3" t="s">
        <v>16</v>
      </c>
      <c r="D112" s="3" t="s">
        <v>191</v>
      </c>
      <c r="E112" s="3" t="str">
        <f>dtbCommunities[[#This Row],[Island]]&amp;"-"&amp;dtbCommunities[[#This Row],[Area Council]]</f>
        <v>Embron-South East</v>
      </c>
    </row>
    <row r="113" spans="1:5" x14ac:dyDescent="0.3">
      <c r="A113" s="3" t="s">
        <v>78</v>
      </c>
      <c r="B113" s="3" t="s">
        <v>84</v>
      </c>
      <c r="C113" s="3" t="s">
        <v>18</v>
      </c>
      <c r="D113" s="3" t="s">
        <v>192</v>
      </c>
      <c r="E113" s="3" t="str">
        <f>dtbCommunities[[#This Row],[Island]]&amp;"-"&amp;dtbCommunities[[#This Row],[Area Council]]</f>
        <v>Embron-West</v>
      </c>
    </row>
    <row r="114" spans="1:5" x14ac:dyDescent="0.3">
      <c r="A114" s="3" t="s">
        <v>78</v>
      </c>
      <c r="B114" s="3" t="s">
        <v>35</v>
      </c>
      <c r="C114" s="3" t="s">
        <v>14</v>
      </c>
      <c r="D114" s="3" t="s">
        <v>193</v>
      </c>
      <c r="E114" s="3" t="str">
        <f>dtbCommunities[[#This Row],[Island]]&amp;"-"&amp;dtbCommunities[[#This Row],[Area Council]]</f>
        <v>Malokilo-South</v>
      </c>
    </row>
    <row r="115" spans="1:5" ht="15" customHeight="1" x14ac:dyDescent="0.3">
      <c r="A115" s="3" t="s">
        <v>78</v>
      </c>
      <c r="B115" s="3" t="s">
        <v>84</v>
      </c>
      <c r="C115" s="3" t="s">
        <v>18</v>
      </c>
      <c r="D115" s="3" t="s">
        <v>194</v>
      </c>
      <c r="E115" s="3" t="str">
        <f>dtbCommunities[[#This Row],[Island]]&amp;"-"&amp;dtbCommunities[[#This Row],[Area Council]]</f>
        <v>Embron-West</v>
      </c>
    </row>
    <row r="116" spans="1:5" ht="15" customHeight="1" x14ac:dyDescent="0.3">
      <c r="A116" s="3" t="s">
        <v>78</v>
      </c>
      <c r="B116" s="3" t="s">
        <v>84</v>
      </c>
      <c r="C116" s="3" t="s">
        <v>18</v>
      </c>
      <c r="D116" s="3" t="s">
        <v>195</v>
      </c>
      <c r="E116" s="3" t="str">
        <f>dtbCommunities[[#This Row],[Island]]&amp;"-"&amp;dtbCommunities[[#This Row],[Area Council]]</f>
        <v>Embron-West</v>
      </c>
    </row>
    <row r="117" spans="1:5" ht="15" customHeight="1" x14ac:dyDescent="0.3">
      <c r="A117" s="3" t="s">
        <v>78</v>
      </c>
      <c r="B117" s="3" t="s">
        <v>36</v>
      </c>
      <c r="C117" s="3" t="s">
        <v>57</v>
      </c>
      <c r="D117" s="3" t="s">
        <v>196</v>
      </c>
      <c r="E117" s="3" t="str">
        <f>dtbCommunities[[#This Row],[Island]]&amp;"-"&amp;dtbCommunities[[#This Row],[Area Council]]</f>
        <v>Piuma-Piemo</v>
      </c>
    </row>
    <row r="118" spans="1:5" ht="15" customHeight="1" x14ac:dyDescent="0.3">
      <c r="A118" s="3" t="s">
        <v>78</v>
      </c>
      <c r="B118" s="3" t="s">
        <v>36</v>
      </c>
      <c r="C118" s="3" t="s">
        <v>57</v>
      </c>
      <c r="D118" s="3" t="s">
        <v>197</v>
      </c>
      <c r="E118" s="3" t="str">
        <f>dtbCommunities[[#This Row],[Island]]&amp;"-"&amp;dtbCommunities[[#This Row],[Area Council]]</f>
        <v>Piuma-Piemo</v>
      </c>
    </row>
    <row r="119" spans="1:5" ht="15" customHeight="1" x14ac:dyDescent="0.3">
      <c r="A119" s="3" t="s">
        <v>78</v>
      </c>
      <c r="B119" s="3" t="s">
        <v>36</v>
      </c>
      <c r="C119" s="3" t="s">
        <v>57</v>
      </c>
      <c r="D119" s="3" t="s">
        <v>4</v>
      </c>
      <c r="E119" s="3" t="str">
        <f>dtbCommunities[[#This Row],[Island]]&amp;"-"&amp;dtbCommunities[[#This Row],[Area Council]]</f>
        <v>Piuma-Piemo</v>
      </c>
    </row>
    <row r="120" spans="1:5" ht="15" customHeight="1" x14ac:dyDescent="0.3">
      <c r="A120" s="3" t="s">
        <v>78</v>
      </c>
      <c r="B120" s="3" t="s">
        <v>35</v>
      </c>
      <c r="C120" s="3" t="s">
        <v>14</v>
      </c>
      <c r="D120" s="3" t="s">
        <v>599</v>
      </c>
      <c r="E120" s="3" t="str">
        <f>dtbCommunities[[#This Row],[Island]]&amp;"-"&amp;dtbCommunities[[#This Row],[Area Council]]</f>
        <v>Malokilo-South</v>
      </c>
    </row>
    <row r="121" spans="1:5" ht="15" customHeight="1" x14ac:dyDescent="0.3">
      <c r="A121" s="3" t="s">
        <v>78</v>
      </c>
      <c r="B121" s="3" t="s">
        <v>35</v>
      </c>
      <c r="C121" s="3" t="s">
        <v>14</v>
      </c>
      <c r="D121" s="3" t="s">
        <v>198</v>
      </c>
      <c r="E121" s="3" t="str">
        <f>dtbCommunities[[#This Row],[Island]]&amp;"-"&amp;dtbCommunities[[#This Row],[Area Council]]</f>
        <v>Malokilo-South</v>
      </c>
    </row>
    <row r="122" spans="1:5" ht="15" customHeight="1" x14ac:dyDescent="0.3">
      <c r="A122" s="3" t="s">
        <v>78</v>
      </c>
      <c r="B122" s="3" t="s">
        <v>84</v>
      </c>
      <c r="C122" s="3" t="s">
        <v>16</v>
      </c>
      <c r="D122" s="3" t="s">
        <v>199</v>
      </c>
      <c r="E122" s="3" t="str">
        <f>dtbCommunities[[#This Row],[Island]]&amp;"-"&amp;dtbCommunities[[#This Row],[Area Council]]</f>
        <v>Embron-South East</v>
      </c>
    </row>
    <row r="123" spans="1:5" ht="15" customHeight="1" x14ac:dyDescent="0.3">
      <c r="A123" s="3" t="s">
        <v>78</v>
      </c>
      <c r="B123" s="3" t="s">
        <v>36</v>
      </c>
      <c r="C123" s="3" t="s">
        <v>57</v>
      </c>
      <c r="D123" s="3" t="s">
        <v>200</v>
      </c>
      <c r="E123" s="3" t="str">
        <f>dtbCommunities[[#This Row],[Island]]&amp;"-"&amp;dtbCommunities[[#This Row],[Area Council]]</f>
        <v>Piuma-Piemo</v>
      </c>
    </row>
    <row r="124" spans="1:5" ht="15" customHeight="1" x14ac:dyDescent="0.3">
      <c r="A124" s="3" t="s">
        <v>78</v>
      </c>
      <c r="B124" s="3" t="s">
        <v>36</v>
      </c>
      <c r="C124" s="3" t="s">
        <v>57</v>
      </c>
      <c r="D124" s="3" t="s">
        <v>201</v>
      </c>
      <c r="E124" s="3" t="str">
        <f>dtbCommunities[[#This Row],[Island]]&amp;"-"&amp;dtbCommunities[[#This Row],[Area Council]]</f>
        <v>Piuma-Piemo</v>
      </c>
    </row>
    <row r="125" spans="1:5" ht="15" customHeight="1" x14ac:dyDescent="0.3">
      <c r="A125" s="3" t="s">
        <v>78</v>
      </c>
      <c r="B125" s="3" t="s">
        <v>35</v>
      </c>
      <c r="C125" s="3" t="s">
        <v>14</v>
      </c>
      <c r="D125" s="3" t="s">
        <v>202</v>
      </c>
      <c r="E125" s="3" t="str">
        <f>dtbCommunities[[#This Row],[Island]]&amp;"-"&amp;dtbCommunities[[#This Row],[Area Council]]</f>
        <v>Malokilo-South</v>
      </c>
    </row>
    <row r="126" spans="1:5" ht="15" customHeight="1" x14ac:dyDescent="0.3">
      <c r="A126" s="3" t="s">
        <v>78</v>
      </c>
      <c r="B126" s="3" t="s">
        <v>35</v>
      </c>
      <c r="C126" s="3" t="s">
        <v>14</v>
      </c>
      <c r="D126" s="3" t="s">
        <v>203</v>
      </c>
      <c r="E126" s="3" t="str">
        <f>dtbCommunities[[#This Row],[Island]]&amp;"-"&amp;dtbCommunities[[#This Row],[Area Council]]</f>
        <v>Malokilo-South</v>
      </c>
    </row>
    <row r="127" spans="1:5" x14ac:dyDescent="0.3">
      <c r="A127" s="3" t="s">
        <v>78</v>
      </c>
      <c r="B127" s="3" t="s">
        <v>35</v>
      </c>
      <c r="C127" s="3" t="s">
        <v>14</v>
      </c>
      <c r="D127" s="3" t="s">
        <v>6</v>
      </c>
      <c r="E127" s="3" t="str">
        <f>dtbCommunities[[#This Row],[Island]]&amp;"-"&amp;dtbCommunities[[#This Row],[Area Council]]</f>
        <v>Malokilo-South</v>
      </c>
    </row>
    <row r="128" spans="1:5" x14ac:dyDescent="0.3">
      <c r="A128" s="3" t="s">
        <v>78</v>
      </c>
      <c r="B128" s="3" t="s">
        <v>35</v>
      </c>
      <c r="C128" s="3" t="s">
        <v>15</v>
      </c>
      <c r="D128" s="3" t="s">
        <v>204</v>
      </c>
      <c r="E128" s="3" t="str">
        <f>dtbCommunities[[#This Row],[Island]]&amp;"-"&amp;dtbCommunities[[#This Row],[Area Council]]</f>
        <v>Malokilo-North West</v>
      </c>
    </row>
    <row r="129" spans="1:5" x14ac:dyDescent="0.3">
      <c r="A129" s="3" t="s">
        <v>78</v>
      </c>
      <c r="B129" s="3" t="s">
        <v>35</v>
      </c>
      <c r="C129" s="3" t="s">
        <v>16</v>
      </c>
      <c r="D129" s="3" t="s">
        <v>205</v>
      </c>
      <c r="E129" s="3" t="str">
        <f>dtbCommunities[[#This Row],[Island]]&amp;"-"&amp;dtbCommunities[[#This Row],[Area Council]]</f>
        <v>Malokilo-South East</v>
      </c>
    </row>
    <row r="130" spans="1:5" x14ac:dyDescent="0.3">
      <c r="A130" s="3" t="s">
        <v>78</v>
      </c>
      <c r="B130" s="3" t="s">
        <v>84</v>
      </c>
      <c r="C130" s="3" t="s">
        <v>16</v>
      </c>
      <c r="D130" s="3" t="s">
        <v>206</v>
      </c>
      <c r="E130" s="3" t="str">
        <f>dtbCommunities[[#This Row],[Island]]&amp;"-"&amp;dtbCommunities[[#This Row],[Area Council]]</f>
        <v>Embron-South East</v>
      </c>
    </row>
    <row r="131" spans="1:5" x14ac:dyDescent="0.3">
      <c r="A131" s="3" t="s">
        <v>78</v>
      </c>
      <c r="B131" s="3" t="s">
        <v>35</v>
      </c>
      <c r="C131" s="3" t="s">
        <v>16</v>
      </c>
      <c r="D131" s="3" t="s">
        <v>207</v>
      </c>
      <c r="E131" s="3" t="str">
        <f>dtbCommunities[[#This Row],[Island]]&amp;"-"&amp;dtbCommunities[[#This Row],[Area Council]]</f>
        <v>Malokilo-South East</v>
      </c>
    </row>
    <row r="132" spans="1:5" ht="15" customHeight="1" x14ac:dyDescent="0.3">
      <c r="A132" s="3" t="s">
        <v>78</v>
      </c>
      <c r="B132" s="3" t="s">
        <v>35</v>
      </c>
      <c r="C132" s="3" t="s">
        <v>16</v>
      </c>
      <c r="D132" s="3" t="s">
        <v>208</v>
      </c>
      <c r="E132" s="3" t="str">
        <f>dtbCommunities[[#This Row],[Island]]&amp;"-"&amp;dtbCommunities[[#This Row],[Area Council]]</f>
        <v>Malokilo-South East</v>
      </c>
    </row>
    <row r="133" spans="1:5" x14ac:dyDescent="0.3">
      <c r="A133" s="3" t="s">
        <v>78</v>
      </c>
      <c r="B133" s="3" t="s">
        <v>35</v>
      </c>
      <c r="C133" s="3" t="s">
        <v>16</v>
      </c>
      <c r="D133" s="3" t="s">
        <v>209</v>
      </c>
      <c r="E133" s="3" t="str">
        <f>dtbCommunities[[#This Row],[Island]]&amp;"-"&amp;dtbCommunities[[#This Row],[Area Council]]</f>
        <v>Malokilo-South East</v>
      </c>
    </row>
    <row r="134" spans="1:5" ht="15" customHeight="1" x14ac:dyDescent="0.3">
      <c r="A134" s="3" t="s">
        <v>78</v>
      </c>
      <c r="B134" s="3" t="s">
        <v>35</v>
      </c>
      <c r="C134" s="3" t="s">
        <v>15</v>
      </c>
      <c r="D134" s="3" t="s">
        <v>2</v>
      </c>
      <c r="E134" s="3" t="str">
        <f>dtbCommunities[[#This Row],[Island]]&amp;"-"&amp;dtbCommunities[[#This Row],[Area Council]]</f>
        <v>Malokilo-North West</v>
      </c>
    </row>
    <row r="135" spans="1:5" ht="15" customHeight="1" x14ac:dyDescent="0.3">
      <c r="A135" s="3" t="s">
        <v>78</v>
      </c>
      <c r="B135" s="3" t="s">
        <v>84</v>
      </c>
      <c r="C135" s="3" t="s">
        <v>16</v>
      </c>
      <c r="D135" s="3" t="s">
        <v>210</v>
      </c>
      <c r="E135" s="3" t="str">
        <f>dtbCommunities[[#This Row],[Island]]&amp;"-"&amp;dtbCommunities[[#This Row],[Area Council]]</f>
        <v>Embron-South East</v>
      </c>
    </row>
    <row r="136" spans="1:5" ht="15" customHeight="1" x14ac:dyDescent="0.3">
      <c r="A136" s="3" t="s">
        <v>78</v>
      </c>
      <c r="B136" s="3" t="s">
        <v>35</v>
      </c>
      <c r="C136" s="3" t="s">
        <v>13</v>
      </c>
      <c r="D136" s="3" t="s">
        <v>211</v>
      </c>
      <c r="E136" s="3" t="str">
        <f>dtbCommunities[[#This Row],[Island]]&amp;"-"&amp;dtbCommunities[[#This Row],[Area Council]]</f>
        <v>Malokilo-Central</v>
      </c>
    </row>
    <row r="137" spans="1:5" ht="15" customHeight="1" x14ac:dyDescent="0.3">
      <c r="A137" s="3" t="s">
        <v>78</v>
      </c>
      <c r="B137" s="3" t="s">
        <v>35</v>
      </c>
      <c r="C137" s="3" t="s">
        <v>13</v>
      </c>
      <c r="D137" s="3" t="s">
        <v>212</v>
      </c>
      <c r="E137" s="3" t="str">
        <f>dtbCommunities[[#This Row],[Island]]&amp;"-"&amp;dtbCommunities[[#This Row],[Area Council]]</f>
        <v>Malokilo-Central</v>
      </c>
    </row>
    <row r="138" spans="1:5" ht="15" customHeight="1" x14ac:dyDescent="0.3">
      <c r="A138" s="3" t="s">
        <v>78</v>
      </c>
      <c r="B138" s="3" t="s">
        <v>35</v>
      </c>
      <c r="C138" s="3" t="s">
        <v>13</v>
      </c>
      <c r="D138" s="3" t="s">
        <v>213</v>
      </c>
      <c r="E138" s="3" t="str">
        <f>dtbCommunities[[#This Row],[Island]]&amp;"-"&amp;dtbCommunities[[#This Row],[Area Council]]</f>
        <v>Malokilo-Central</v>
      </c>
    </row>
    <row r="139" spans="1:5" ht="15" customHeight="1" x14ac:dyDescent="0.3">
      <c r="A139" s="3" t="s">
        <v>78</v>
      </c>
      <c r="B139" s="3" t="s">
        <v>35</v>
      </c>
      <c r="C139" s="3" t="s">
        <v>15</v>
      </c>
      <c r="D139" s="3" t="s">
        <v>214</v>
      </c>
      <c r="E139" s="3" t="str">
        <f>dtbCommunities[[#This Row],[Island]]&amp;"-"&amp;dtbCommunities[[#This Row],[Area Council]]</f>
        <v>Malokilo-North West</v>
      </c>
    </row>
    <row r="140" spans="1:5" ht="15" customHeight="1" x14ac:dyDescent="0.3">
      <c r="A140" s="3" t="s">
        <v>78</v>
      </c>
      <c r="B140" s="3" t="s">
        <v>35</v>
      </c>
      <c r="C140" s="3" t="s">
        <v>15</v>
      </c>
      <c r="D140" s="3" t="s">
        <v>215</v>
      </c>
      <c r="E140" s="3" t="str">
        <f>dtbCommunities[[#This Row],[Island]]&amp;"-"&amp;dtbCommunities[[#This Row],[Area Council]]</f>
        <v>Malokilo-North West</v>
      </c>
    </row>
    <row r="141" spans="1:5" ht="15" customHeight="1" x14ac:dyDescent="0.3">
      <c r="A141" s="3" t="s">
        <v>78</v>
      </c>
      <c r="B141" s="3" t="s">
        <v>35</v>
      </c>
      <c r="C141" s="3" t="s">
        <v>15</v>
      </c>
      <c r="D141" s="3" t="s">
        <v>3</v>
      </c>
      <c r="E141" s="3" t="str">
        <f>dtbCommunities[[#This Row],[Island]]&amp;"-"&amp;dtbCommunities[[#This Row],[Area Council]]</f>
        <v>Malokilo-North West</v>
      </c>
    </row>
    <row r="142" spans="1:5" ht="15" customHeight="1" x14ac:dyDescent="0.3">
      <c r="A142" s="3" t="s">
        <v>78</v>
      </c>
      <c r="B142" s="3" t="s">
        <v>84</v>
      </c>
      <c r="C142" s="3" t="s">
        <v>16</v>
      </c>
      <c r="D142" s="3" t="s">
        <v>216</v>
      </c>
      <c r="E142" s="3" t="str">
        <f>dtbCommunities[[#This Row],[Island]]&amp;"-"&amp;dtbCommunities[[#This Row],[Area Council]]</f>
        <v>Embron-South East</v>
      </c>
    </row>
    <row r="143" spans="1:5" ht="15" customHeight="1" x14ac:dyDescent="0.3">
      <c r="A143" s="3" t="s">
        <v>78</v>
      </c>
      <c r="B143" s="3" t="s">
        <v>35</v>
      </c>
      <c r="C143" s="3" t="s">
        <v>15</v>
      </c>
      <c r="D143" s="3" t="s">
        <v>217</v>
      </c>
      <c r="E143" s="3" t="str">
        <f>dtbCommunities[[#This Row],[Island]]&amp;"-"&amp;dtbCommunities[[#This Row],[Area Council]]</f>
        <v>Malokilo-North West</v>
      </c>
    </row>
    <row r="144" spans="1:5" ht="15" customHeight="1" x14ac:dyDescent="0.3">
      <c r="A144" s="3" t="s">
        <v>78</v>
      </c>
      <c r="B144" s="3" t="s">
        <v>35</v>
      </c>
      <c r="C144" s="3" t="s">
        <v>15</v>
      </c>
      <c r="D144" s="3" t="s">
        <v>218</v>
      </c>
      <c r="E144" s="3" t="str">
        <f>dtbCommunities[[#This Row],[Island]]&amp;"-"&amp;dtbCommunities[[#This Row],[Area Council]]</f>
        <v>Malokilo-North West</v>
      </c>
    </row>
    <row r="145" spans="1:5" ht="15" customHeight="1" x14ac:dyDescent="0.3">
      <c r="A145" s="3" t="s">
        <v>78</v>
      </c>
      <c r="B145" s="3" t="s">
        <v>35</v>
      </c>
      <c r="C145" s="3" t="s">
        <v>15</v>
      </c>
      <c r="D145" s="3" t="s">
        <v>219</v>
      </c>
      <c r="E145" s="3" t="str">
        <f>dtbCommunities[[#This Row],[Island]]&amp;"-"&amp;dtbCommunities[[#This Row],[Area Council]]</f>
        <v>Malokilo-North West</v>
      </c>
    </row>
    <row r="146" spans="1:5" ht="15" customHeight="1" x14ac:dyDescent="0.3">
      <c r="A146" s="3" t="s">
        <v>78</v>
      </c>
      <c r="B146" s="3" t="s">
        <v>36</v>
      </c>
      <c r="C146" s="3" t="s">
        <v>57</v>
      </c>
      <c r="D146" s="3" t="s">
        <v>220</v>
      </c>
      <c r="E146" s="3" t="str">
        <f>dtbCommunities[[#This Row],[Island]]&amp;"-"&amp;dtbCommunities[[#This Row],[Area Council]]</f>
        <v>Piuma-Piemo</v>
      </c>
    </row>
    <row r="147" spans="1:5" ht="15" customHeight="1" x14ac:dyDescent="0.3">
      <c r="A147" s="3" t="s">
        <v>78</v>
      </c>
      <c r="B147" s="3" t="s">
        <v>35</v>
      </c>
      <c r="C147" s="3" t="s">
        <v>15</v>
      </c>
      <c r="D147" s="3" t="s">
        <v>221</v>
      </c>
      <c r="E147" s="3" t="str">
        <f>dtbCommunities[[#This Row],[Island]]&amp;"-"&amp;dtbCommunities[[#This Row],[Area Council]]</f>
        <v>Malokilo-North West</v>
      </c>
    </row>
    <row r="148" spans="1:5" ht="15" customHeight="1" x14ac:dyDescent="0.3">
      <c r="A148" s="3" t="s">
        <v>78</v>
      </c>
      <c r="B148" s="3" t="s">
        <v>36</v>
      </c>
      <c r="C148" s="3" t="s">
        <v>57</v>
      </c>
      <c r="D148" s="3" t="s">
        <v>222</v>
      </c>
      <c r="E148" s="3" t="str">
        <f>dtbCommunities[[#This Row],[Island]]&amp;"-"&amp;dtbCommunities[[#This Row],[Area Council]]</f>
        <v>Piuma-Piemo</v>
      </c>
    </row>
    <row r="149" spans="1:5" ht="15" customHeight="1" x14ac:dyDescent="0.3">
      <c r="A149" s="3" t="s">
        <v>78</v>
      </c>
      <c r="B149" s="3" t="s">
        <v>36</v>
      </c>
      <c r="C149" s="3" t="s">
        <v>57</v>
      </c>
      <c r="D149" s="3" t="s">
        <v>223</v>
      </c>
      <c r="E149" s="3" t="str">
        <f>dtbCommunities[[#This Row],[Island]]&amp;"-"&amp;dtbCommunities[[#This Row],[Area Council]]</f>
        <v>Piuma-Piemo</v>
      </c>
    </row>
    <row r="150" spans="1:5" ht="15" customHeight="1" x14ac:dyDescent="0.3">
      <c r="A150" s="3" t="s">
        <v>78</v>
      </c>
      <c r="B150" s="3" t="s">
        <v>35</v>
      </c>
      <c r="C150" s="3" t="s">
        <v>13</v>
      </c>
      <c r="D150" s="3" t="s">
        <v>224</v>
      </c>
      <c r="E150" s="3" t="str">
        <f>dtbCommunities[[#This Row],[Island]]&amp;"-"&amp;dtbCommunities[[#This Row],[Area Council]]</f>
        <v>Malokilo-Central</v>
      </c>
    </row>
    <row r="151" spans="1:5" ht="15" customHeight="1" x14ac:dyDescent="0.3">
      <c r="A151" s="3" t="s">
        <v>78</v>
      </c>
      <c r="B151" s="3" t="s">
        <v>35</v>
      </c>
      <c r="C151" s="3" t="s">
        <v>15</v>
      </c>
      <c r="D151" s="3" t="s">
        <v>225</v>
      </c>
      <c r="E151" s="3" t="str">
        <f>dtbCommunities[[#This Row],[Island]]&amp;"-"&amp;dtbCommunities[[#This Row],[Area Council]]</f>
        <v>Malokilo-North West</v>
      </c>
    </row>
    <row r="152" spans="1:5" ht="15" customHeight="1" x14ac:dyDescent="0.3">
      <c r="A152" s="3" t="s">
        <v>78</v>
      </c>
      <c r="B152" s="3" t="s">
        <v>35</v>
      </c>
      <c r="C152" s="3" t="s">
        <v>15</v>
      </c>
      <c r="D152" s="3" t="s">
        <v>1</v>
      </c>
      <c r="E152" s="3" t="str">
        <f>dtbCommunities[[#This Row],[Island]]&amp;"-"&amp;dtbCommunities[[#This Row],[Area Council]]</f>
        <v>Malokilo-North West</v>
      </c>
    </row>
    <row r="153" spans="1:5" ht="15" customHeight="1" x14ac:dyDescent="0.3">
      <c r="A153" s="3" t="s">
        <v>78</v>
      </c>
      <c r="B153" s="3" t="s">
        <v>35</v>
      </c>
      <c r="C153" s="3" t="s">
        <v>15</v>
      </c>
      <c r="D153" s="3" t="s">
        <v>226</v>
      </c>
      <c r="E153" s="3" t="str">
        <f>dtbCommunities[[#This Row],[Island]]&amp;"-"&amp;dtbCommunities[[#This Row],[Area Council]]</f>
        <v>Malokilo-North West</v>
      </c>
    </row>
    <row r="154" spans="1:5" ht="15" customHeight="1" x14ac:dyDescent="0.3">
      <c r="A154" s="3" t="s">
        <v>78</v>
      </c>
      <c r="B154" s="3" t="s">
        <v>84</v>
      </c>
      <c r="C154" s="3" t="s">
        <v>20</v>
      </c>
      <c r="D154" s="3" t="s">
        <v>227</v>
      </c>
      <c r="E154" s="3" t="str">
        <f>dtbCommunities[[#This Row],[Island]]&amp;"-"&amp;dtbCommunities[[#This Row],[Area Council]]</f>
        <v>Embron-North</v>
      </c>
    </row>
    <row r="155" spans="1:5" x14ac:dyDescent="0.3">
      <c r="A155" s="3" t="s">
        <v>78</v>
      </c>
      <c r="B155" s="3" t="s">
        <v>35</v>
      </c>
      <c r="C155" s="3" t="s">
        <v>15</v>
      </c>
      <c r="D155" s="3" t="s">
        <v>228</v>
      </c>
      <c r="E155" s="3" t="str">
        <f>dtbCommunities[[#This Row],[Island]]&amp;"-"&amp;dtbCommunities[[#This Row],[Area Council]]</f>
        <v>Malokilo-North West</v>
      </c>
    </row>
    <row r="156" spans="1:5" ht="15" customHeight="1" x14ac:dyDescent="0.3">
      <c r="A156" s="3" t="s">
        <v>78</v>
      </c>
      <c r="B156" s="3" t="s">
        <v>35</v>
      </c>
      <c r="C156" s="3" t="s">
        <v>15</v>
      </c>
      <c r="D156" s="3" t="s">
        <v>229</v>
      </c>
      <c r="E156" s="3" t="str">
        <f>dtbCommunities[[#This Row],[Island]]&amp;"-"&amp;dtbCommunities[[#This Row],[Area Council]]</f>
        <v>Malokilo-North West</v>
      </c>
    </row>
    <row r="157" spans="1:5" ht="15" customHeight="1" x14ac:dyDescent="0.3">
      <c r="A157" s="3" t="s">
        <v>78</v>
      </c>
      <c r="B157" s="3" t="s">
        <v>35</v>
      </c>
      <c r="C157" s="3" t="s">
        <v>15</v>
      </c>
      <c r="D157" s="3" t="s">
        <v>230</v>
      </c>
      <c r="E157" s="3" t="str">
        <f>dtbCommunities[[#This Row],[Island]]&amp;"-"&amp;dtbCommunities[[#This Row],[Area Council]]</f>
        <v>Malokilo-North West</v>
      </c>
    </row>
    <row r="158" spans="1:5" ht="15" customHeight="1" x14ac:dyDescent="0.3">
      <c r="A158" s="3" t="s">
        <v>78</v>
      </c>
      <c r="B158" s="3" t="s">
        <v>35</v>
      </c>
      <c r="C158" s="3" t="s">
        <v>15</v>
      </c>
      <c r="D158" s="3" t="s">
        <v>231</v>
      </c>
      <c r="E158" s="3" t="str">
        <f>dtbCommunities[[#This Row],[Island]]&amp;"-"&amp;dtbCommunities[[#This Row],[Area Council]]</f>
        <v>Malokilo-North West</v>
      </c>
    </row>
    <row r="159" spans="1:5" ht="15" customHeight="1" x14ac:dyDescent="0.3">
      <c r="A159" s="3" t="s">
        <v>78</v>
      </c>
      <c r="B159" s="3" t="s">
        <v>84</v>
      </c>
      <c r="C159" s="3" t="s">
        <v>18</v>
      </c>
      <c r="D159" s="3" t="s">
        <v>232</v>
      </c>
      <c r="E159" s="3" t="str">
        <f>dtbCommunities[[#This Row],[Island]]&amp;"-"&amp;dtbCommunities[[#This Row],[Area Council]]</f>
        <v>Embron-West</v>
      </c>
    </row>
    <row r="160" spans="1:5" ht="15" customHeight="1" x14ac:dyDescent="0.3">
      <c r="A160" s="3" t="s">
        <v>78</v>
      </c>
      <c r="B160" s="3" t="s">
        <v>84</v>
      </c>
      <c r="C160" s="3" t="s">
        <v>18</v>
      </c>
      <c r="D160" s="3" t="s">
        <v>233</v>
      </c>
      <c r="E160" s="3" t="str">
        <f>dtbCommunities[[#This Row],[Island]]&amp;"-"&amp;dtbCommunities[[#This Row],[Area Council]]</f>
        <v>Embron-West</v>
      </c>
    </row>
    <row r="161" spans="1:5" x14ac:dyDescent="0.3">
      <c r="A161" s="3" t="s">
        <v>78</v>
      </c>
      <c r="B161" s="3" t="s">
        <v>84</v>
      </c>
      <c r="C161" s="3" t="s">
        <v>20</v>
      </c>
      <c r="D161" s="1" t="s">
        <v>234</v>
      </c>
      <c r="E161" s="3" t="str">
        <f>dtbCommunities[[#This Row],[Island]]&amp;"-"&amp;dtbCommunities[[#This Row],[Area Council]]</f>
        <v>Embron-North</v>
      </c>
    </row>
    <row r="162" spans="1:5" ht="15" customHeight="1" x14ac:dyDescent="0.3">
      <c r="A162" s="3" t="s">
        <v>79</v>
      </c>
      <c r="B162" s="3" t="s">
        <v>85</v>
      </c>
      <c r="C162" s="3" t="s">
        <v>20</v>
      </c>
      <c r="D162" s="2" t="s">
        <v>235</v>
      </c>
      <c r="E162" s="3" t="str">
        <f>dtbCommunities[[#This Row],[Island]]&amp;"-"&amp;dtbCommunities[[#This Row],[Area Council]]</f>
        <v>Bentacast-North</v>
      </c>
    </row>
    <row r="163" spans="1:5" ht="15" customHeight="1" x14ac:dyDescent="0.3">
      <c r="A163" s="3" t="s">
        <v>79</v>
      </c>
      <c r="B163" s="3" t="s">
        <v>85</v>
      </c>
      <c r="C163" s="3" t="s">
        <v>20</v>
      </c>
      <c r="D163" s="2" t="s">
        <v>236</v>
      </c>
      <c r="E163" s="3" t="str">
        <f>dtbCommunities[[#This Row],[Island]]&amp;"-"&amp;dtbCommunities[[#This Row],[Area Council]]</f>
        <v>Bentacast-North</v>
      </c>
    </row>
    <row r="164" spans="1:5" x14ac:dyDescent="0.3">
      <c r="A164" s="3" t="s">
        <v>79</v>
      </c>
      <c r="B164" s="3" t="s">
        <v>37</v>
      </c>
      <c r="C164" s="3" t="s">
        <v>21</v>
      </c>
      <c r="D164" s="1" t="s">
        <v>237</v>
      </c>
      <c r="E164" s="3" t="str">
        <f>dtbCommunities[[#This Row],[Island]]&amp;"-"&amp;dtbCommunities[[#This Row],[Area Council]]</f>
        <v>Ambea-East</v>
      </c>
    </row>
    <row r="165" spans="1:5" ht="15.6" customHeight="1" x14ac:dyDescent="0.3">
      <c r="A165" s="3" t="s">
        <v>79</v>
      </c>
      <c r="B165" s="3" t="s">
        <v>85</v>
      </c>
      <c r="C165" s="3" t="s">
        <v>20</v>
      </c>
      <c r="D165" s="1" t="s">
        <v>238</v>
      </c>
      <c r="E165" s="3" t="str">
        <f>dtbCommunities[[#This Row],[Island]]&amp;"-"&amp;dtbCommunities[[#This Row],[Area Council]]</f>
        <v>Bentacast-North</v>
      </c>
    </row>
    <row r="166" spans="1:5" x14ac:dyDescent="0.3">
      <c r="A166" s="3" t="s">
        <v>79</v>
      </c>
      <c r="B166" s="3" t="s">
        <v>37</v>
      </c>
      <c r="C166" s="3" t="s">
        <v>18</v>
      </c>
      <c r="D166" s="2" t="s">
        <v>9</v>
      </c>
      <c r="E166" s="3" t="str">
        <f>dtbCommunities[[#This Row],[Island]]&amp;"-"&amp;dtbCommunities[[#This Row],[Area Council]]</f>
        <v>Ambea-West</v>
      </c>
    </row>
    <row r="167" spans="1:5" ht="15" customHeight="1" x14ac:dyDescent="0.3">
      <c r="A167" s="3" t="s">
        <v>79</v>
      </c>
      <c r="B167" s="3" t="s">
        <v>85</v>
      </c>
      <c r="C167" s="3" t="s">
        <v>20</v>
      </c>
      <c r="D167" s="3" t="s">
        <v>239</v>
      </c>
      <c r="E167" s="3" t="str">
        <f>dtbCommunities[[#This Row],[Island]]&amp;"-"&amp;dtbCommunities[[#This Row],[Area Council]]</f>
        <v>Bentacast-North</v>
      </c>
    </row>
    <row r="168" spans="1:5" ht="15" customHeight="1" x14ac:dyDescent="0.3">
      <c r="A168" s="3" t="s">
        <v>79</v>
      </c>
      <c r="B168" s="3" t="s">
        <v>38</v>
      </c>
      <c r="C168" s="3" t="s">
        <v>14</v>
      </c>
      <c r="D168" s="2" t="s">
        <v>240</v>
      </c>
      <c r="E168" s="3" t="str">
        <f>dtbCommunities[[#This Row],[Island]]&amp;"-"&amp;dtbCommunities[[#This Row],[Area Council]]</f>
        <v>Maiwo-South</v>
      </c>
    </row>
    <row r="169" spans="1:5" ht="15" customHeight="1" x14ac:dyDescent="0.3">
      <c r="A169" s="3" t="s">
        <v>79</v>
      </c>
      <c r="B169" s="3" t="s">
        <v>85</v>
      </c>
      <c r="C169" s="3" t="s">
        <v>20</v>
      </c>
      <c r="D169" s="2" t="s">
        <v>241</v>
      </c>
      <c r="E169" s="3" t="str">
        <f>dtbCommunities[[#This Row],[Island]]&amp;"-"&amp;dtbCommunities[[#This Row],[Area Council]]</f>
        <v>Bentacast-North</v>
      </c>
    </row>
    <row r="170" spans="1:5" ht="15" customHeight="1" x14ac:dyDescent="0.3">
      <c r="A170" s="3" t="s">
        <v>79</v>
      </c>
      <c r="B170" s="3" t="s">
        <v>38</v>
      </c>
      <c r="C170" s="3" t="s">
        <v>14</v>
      </c>
      <c r="D170" s="2" t="s">
        <v>242</v>
      </c>
      <c r="E170" s="3" t="str">
        <f>dtbCommunities[[#This Row],[Island]]&amp;"-"&amp;dtbCommunities[[#This Row],[Area Council]]</f>
        <v>Maiwo-South</v>
      </c>
    </row>
    <row r="171" spans="1:5" ht="15" customHeight="1" x14ac:dyDescent="0.3">
      <c r="A171" s="3" t="s">
        <v>79</v>
      </c>
      <c r="B171" s="3" t="s">
        <v>85</v>
      </c>
      <c r="C171" s="3" t="s">
        <v>20</v>
      </c>
      <c r="D171" s="2" t="s">
        <v>243</v>
      </c>
      <c r="E171" s="3" t="str">
        <f>dtbCommunities[[#This Row],[Island]]&amp;"-"&amp;dtbCommunities[[#This Row],[Area Council]]</f>
        <v>Bentacast-North</v>
      </c>
    </row>
    <row r="172" spans="1:5" ht="15" customHeight="1" x14ac:dyDescent="0.3">
      <c r="A172" s="3" t="s">
        <v>79</v>
      </c>
      <c r="B172" s="3" t="s">
        <v>85</v>
      </c>
      <c r="C172" s="3" t="s">
        <v>14</v>
      </c>
      <c r="D172" s="2" t="s">
        <v>244</v>
      </c>
      <c r="E172" s="3" t="str">
        <f>dtbCommunities[[#This Row],[Island]]&amp;"-"&amp;dtbCommunities[[#This Row],[Area Council]]</f>
        <v>Bentacast-South</v>
      </c>
    </row>
    <row r="173" spans="1:5" ht="15.6" customHeight="1" x14ac:dyDescent="0.3">
      <c r="A173" s="3" t="s">
        <v>79</v>
      </c>
      <c r="B173" s="3" t="s">
        <v>85</v>
      </c>
      <c r="C173" s="3" t="s">
        <v>14</v>
      </c>
      <c r="D173" s="1" t="s">
        <v>245</v>
      </c>
      <c r="E173" s="3" t="str">
        <f>dtbCommunities[[#This Row],[Island]]&amp;"-"&amp;dtbCommunities[[#This Row],[Area Council]]</f>
        <v>Bentacast-South</v>
      </c>
    </row>
    <row r="174" spans="1:5" ht="15" customHeight="1" x14ac:dyDescent="0.3">
      <c r="A174" s="3" t="s">
        <v>79</v>
      </c>
      <c r="B174" s="3" t="s">
        <v>38</v>
      </c>
      <c r="C174" s="3" t="s">
        <v>20</v>
      </c>
      <c r="D174" s="2" t="s">
        <v>246</v>
      </c>
      <c r="E174" s="3" t="str">
        <f>dtbCommunities[[#This Row],[Island]]&amp;"-"&amp;dtbCommunities[[#This Row],[Area Council]]</f>
        <v>Maiwo-North</v>
      </c>
    </row>
    <row r="175" spans="1:5" ht="15" customHeight="1" x14ac:dyDescent="0.3">
      <c r="A175" s="3" t="s">
        <v>79</v>
      </c>
      <c r="B175" s="3" t="s">
        <v>85</v>
      </c>
      <c r="C175" s="3" t="s">
        <v>13</v>
      </c>
      <c r="D175" s="3" t="s">
        <v>247</v>
      </c>
      <c r="E175" s="3" t="str">
        <f>dtbCommunities[[#This Row],[Island]]&amp;"-"&amp;dtbCommunities[[#This Row],[Area Council]]</f>
        <v>Bentacast-Central</v>
      </c>
    </row>
    <row r="176" spans="1:5" x14ac:dyDescent="0.3">
      <c r="A176" s="3" t="s">
        <v>79</v>
      </c>
      <c r="B176" s="3" t="s">
        <v>37</v>
      </c>
      <c r="C176" s="3" t="s">
        <v>18</v>
      </c>
      <c r="D176" s="3" t="s">
        <v>600</v>
      </c>
      <c r="E176" s="3" t="str">
        <f>dtbCommunities[[#This Row],[Island]]&amp;"-"&amp;dtbCommunities[[#This Row],[Area Council]]</f>
        <v>Ambea-West</v>
      </c>
    </row>
    <row r="177" spans="1:5" ht="15" customHeight="1" x14ac:dyDescent="0.3">
      <c r="A177" s="3" t="s">
        <v>79</v>
      </c>
      <c r="B177" s="3" t="s">
        <v>85</v>
      </c>
      <c r="C177" s="3" t="s">
        <v>14</v>
      </c>
      <c r="D177" s="2" t="s">
        <v>248</v>
      </c>
      <c r="E177" s="3" t="str">
        <f>dtbCommunities[[#This Row],[Island]]&amp;"-"&amp;dtbCommunities[[#This Row],[Area Council]]</f>
        <v>Bentacast-South</v>
      </c>
    </row>
    <row r="178" spans="1:5" ht="15" customHeight="1" x14ac:dyDescent="0.3">
      <c r="A178" s="3" t="s">
        <v>79</v>
      </c>
      <c r="B178" s="3" t="s">
        <v>38</v>
      </c>
      <c r="C178" s="3" t="s">
        <v>20</v>
      </c>
      <c r="D178" s="2" t="s">
        <v>249</v>
      </c>
      <c r="E178" s="3" t="str">
        <f>dtbCommunities[[#This Row],[Island]]&amp;"-"&amp;dtbCommunities[[#This Row],[Area Council]]</f>
        <v>Maiwo-North</v>
      </c>
    </row>
    <row r="179" spans="1:5" ht="15" customHeight="1" x14ac:dyDescent="0.3">
      <c r="A179" s="3" t="s">
        <v>79</v>
      </c>
      <c r="B179" s="3" t="s">
        <v>38</v>
      </c>
      <c r="C179" s="3" t="s">
        <v>20</v>
      </c>
      <c r="D179" s="3" t="s">
        <v>250</v>
      </c>
      <c r="E179" s="3" t="str">
        <f>dtbCommunities[[#This Row],[Island]]&amp;"-"&amp;dtbCommunities[[#This Row],[Area Council]]</f>
        <v>Maiwo-North</v>
      </c>
    </row>
    <row r="180" spans="1:5" ht="15" customHeight="1" x14ac:dyDescent="0.3">
      <c r="A180" s="3" t="s">
        <v>79</v>
      </c>
      <c r="B180" s="3" t="s">
        <v>85</v>
      </c>
      <c r="C180" s="3" t="s">
        <v>20</v>
      </c>
      <c r="D180" s="2" t="s">
        <v>251</v>
      </c>
      <c r="E180" s="3" t="str">
        <f>dtbCommunities[[#This Row],[Island]]&amp;"-"&amp;dtbCommunities[[#This Row],[Area Council]]</f>
        <v>Bentacast-North</v>
      </c>
    </row>
    <row r="181" spans="1:5" ht="15" customHeight="1" x14ac:dyDescent="0.3">
      <c r="A181" s="3" t="s">
        <v>79</v>
      </c>
      <c r="B181" s="3" t="s">
        <v>85</v>
      </c>
      <c r="C181" s="3" t="s">
        <v>20</v>
      </c>
      <c r="D181" s="3" t="s">
        <v>252</v>
      </c>
      <c r="E181" s="3" t="str">
        <f>dtbCommunities[[#This Row],[Island]]&amp;"-"&amp;dtbCommunities[[#This Row],[Area Council]]</f>
        <v>Bentacast-North</v>
      </c>
    </row>
    <row r="182" spans="1:5" ht="15" customHeight="1" x14ac:dyDescent="0.3">
      <c r="A182" s="3" t="s">
        <v>79</v>
      </c>
      <c r="B182" s="3" t="s">
        <v>85</v>
      </c>
      <c r="C182" s="3" t="s">
        <v>20</v>
      </c>
      <c r="D182" s="3" t="s">
        <v>253</v>
      </c>
      <c r="E182" s="3" t="str">
        <f>dtbCommunities[[#This Row],[Island]]&amp;"-"&amp;dtbCommunities[[#This Row],[Area Council]]</f>
        <v>Bentacast-North</v>
      </c>
    </row>
    <row r="183" spans="1:5" x14ac:dyDescent="0.3">
      <c r="A183" s="3" t="s">
        <v>79</v>
      </c>
      <c r="B183" s="3" t="s">
        <v>37</v>
      </c>
      <c r="C183" s="3" t="s">
        <v>20</v>
      </c>
      <c r="D183" s="2" t="s">
        <v>254</v>
      </c>
      <c r="E183" s="3" t="str">
        <f>dtbCommunities[[#This Row],[Island]]&amp;"-"&amp;dtbCommunities[[#This Row],[Area Council]]</f>
        <v>Ambea-North</v>
      </c>
    </row>
    <row r="184" spans="1:5" x14ac:dyDescent="0.3">
      <c r="A184" s="3" t="s">
        <v>79</v>
      </c>
      <c r="B184" s="3" t="s">
        <v>37</v>
      </c>
      <c r="C184" s="3" t="s">
        <v>20</v>
      </c>
      <c r="D184" s="3" t="s">
        <v>255</v>
      </c>
      <c r="E184" s="3" t="str">
        <f>dtbCommunities[[#This Row],[Island]]&amp;"-"&amp;dtbCommunities[[#This Row],[Area Council]]</f>
        <v>Ambea-North</v>
      </c>
    </row>
    <row r="185" spans="1:5" ht="15" customHeight="1" x14ac:dyDescent="0.3">
      <c r="A185" s="3" t="s">
        <v>79</v>
      </c>
      <c r="B185" s="3" t="s">
        <v>37</v>
      </c>
      <c r="C185" s="3" t="s">
        <v>18</v>
      </c>
      <c r="D185" s="2" t="s">
        <v>256</v>
      </c>
      <c r="E185" s="3" t="str">
        <f>dtbCommunities[[#This Row],[Island]]&amp;"-"&amp;dtbCommunities[[#This Row],[Area Council]]</f>
        <v>Ambea-West</v>
      </c>
    </row>
    <row r="186" spans="1:5" ht="15" customHeight="1" x14ac:dyDescent="0.3">
      <c r="A186" s="3" t="s">
        <v>79</v>
      </c>
      <c r="B186" s="3" t="s">
        <v>37</v>
      </c>
      <c r="C186" s="3" t="s">
        <v>21</v>
      </c>
      <c r="D186" s="3" t="s">
        <v>257</v>
      </c>
      <c r="E186" s="3" t="str">
        <f>dtbCommunities[[#This Row],[Island]]&amp;"-"&amp;dtbCommunities[[#This Row],[Area Council]]</f>
        <v>Ambea-East</v>
      </c>
    </row>
    <row r="187" spans="1:5" ht="15" customHeight="1" x14ac:dyDescent="0.3">
      <c r="A187" s="3" t="s">
        <v>79</v>
      </c>
      <c r="B187" s="3" t="s">
        <v>85</v>
      </c>
      <c r="C187" s="3" t="s">
        <v>20</v>
      </c>
      <c r="D187" s="2" t="s">
        <v>258</v>
      </c>
      <c r="E187" s="3" t="str">
        <f>dtbCommunities[[#This Row],[Island]]&amp;"-"&amp;dtbCommunities[[#This Row],[Area Council]]</f>
        <v>Bentacast-North</v>
      </c>
    </row>
    <row r="188" spans="1:5" ht="15" customHeight="1" x14ac:dyDescent="0.3">
      <c r="A188" s="3" t="s">
        <v>79</v>
      </c>
      <c r="B188" s="3" t="s">
        <v>85</v>
      </c>
      <c r="C188" s="3" t="s">
        <v>14</v>
      </c>
      <c r="D188" s="2" t="s">
        <v>259</v>
      </c>
      <c r="E188" s="3" t="str">
        <f>dtbCommunities[[#This Row],[Island]]&amp;"-"&amp;dtbCommunities[[#This Row],[Area Council]]</f>
        <v>Bentacast-South</v>
      </c>
    </row>
    <row r="189" spans="1:5" ht="15" customHeight="1" x14ac:dyDescent="0.3">
      <c r="A189" s="3" t="s">
        <v>79</v>
      </c>
      <c r="B189" s="3" t="s">
        <v>37</v>
      </c>
      <c r="C189" s="3" t="s">
        <v>18</v>
      </c>
      <c r="D189" s="2" t="s">
        <v>260</v>
      </c>
      <c r="E189" s="3" t="str">
        <f>dtbCommunities[[#This Row],[Island]]&amp;"-"&amp;dtbCommunities[[#This Row],[Area Council]]</f>
        <v>Ambea-West</v>
      </c>
    </row>
    <row r="190" spans="1:5" ht="15" customHeight="1" x14ac:dyDescent="0.3">
      <c r="A190" s="3" t="s">
        <v>79</v>
      </c>
      <c r="B190" s="3" t="s">
        <v>38</v>
      </c>
      <c r="C190" s="3" t="s">
        <v>20</v>
      </c>
      <c r="D190" s="2" t="s">
        <v>8</v>
      </c>
      <c r="E190" s="3" t="str">
        <f>dtbCommunities[[#This Row],[Island]]&amp;"-"&amp;dtbCommunities[[#This Row],[Area Council]]</f>
        <v>Maiwo-North</v>
      </c>
    </row>
    <row r="191" spans="1:5" ht="15" customHeight="1" x14ac:dyDescent="0.3">
      <c r="A191" s="3" t="s">
        <v>79</v>
      </c>
      <c r="B191" s="3" t="s">
        <v>85</v>
      </c>
      <c r="C191" s="3" t="s">
        <v>13</v>
      </c>
      <c r="D191" s="2" t="s">
        <v>601</v>
      </c>
      <c r="E191" s="3" t="str">
        <f>dtbCommunities[[#This Row],[Island]]&amp;"-"&amp;dtbCommunities[[#This Row],[Area Council]]</f>
        <v>Bentacast-Central</v>
      </c>
    </row>
    <row r="192" spans="1:5" ht="15" customHeight="1" x14ac:dyDescent="0.3">
      <c r="A192" s="3" t="s">
        <v>79</v>
      </c>
      <c r="B192" s="3" t="s">
        <v>85</v>
      </c>
      <c r="C192" s="3" t="s">
        <v>13</v>
      </c>
      <c r="D192" s="2" t="s">
        <v>261</v>
      </c>
      <c r="E192" s="3" t="str">
        <f>dtbCommunities[[#This Row],[Island]]&amp;"-"&amp;dtbCommunities[[#This Row],[Area Council]]</f>
        <v>Bentacast-Central</v>
      </c>
    </row>
    <row r="193" spans="1:5" ht="15" customHeight="1" x14ac:dyDescent="0.3">
      <c r="A193" s="3" t="s">
        <v>79</v>
      </c>
      <c r="B193" s="3" t="s">
        <v>37</v>
      </c>
      <c r="C193" s="3" t="s">
        <v>20</v>
      </c>
      <c r="D193" s="3" t="s">
        <v>262</v>
      </c>
      <c r="E193" s="3" t="str">
        <f>dtbCommunities[[#This Row],[Island]]&amp;"-"&amp;dtbCommunities[[#This Row],[Area Council]]</f>
        <v>Ambea-North</v>
      </c>
    </row>
    <row r="194" spans="1:5" ht="15" customHeight="1" x14ac:dyDescent="0.3">
      <c r="A194" s="3" t="s">
        <v>79</v>
      </c>
      <c r="B194" s="3" t="s">
        <v>37</v>
      </c>
      <c r="C194" s="3" t="s">
        <v>18</v>
      </c>
      <c r="D194" s="2" t="s">
        <v>263</v>
      </c>
      <c r="E194" s="3" t="str">
        <f>dtbCommunities[[#This Row],[Island]]&amp;"-"&amp;dtbCommunities[[#This Row],[Area Council]]</f>
        <v>Ambea-West</v>
      </c>
    </row>
    <row r="195" spans="1:5" ht="15" customHeight="1" x14ac:dyDescent="0.3">
      <c r="A195" s="3" t="s">
        <v>79</v>
      </c>
      <c r="B195" s="3" t="s">
        <v>85</v>
      </c>
      <c r="C195" s="3" t="s">
        <v>20</v>
      </c>
      <c r="D195" s="2" t="s">
        <v>264</v>
      </c>
      <c r="E195" s="3" t="str">
        <f>dtbCommunities[[#This Row],[Island]]&amp;"-"&amp;dtbCommunities[[#This Row],[Area Council]]</f>
        <v>Bentacast-North</v>
      </c>
    </row>
    <row r="196" spans="1:5" ht="15" customHeight="1" x14ac:dyDescent="0.3">
      <c r="A196" s="3" t="s">
        <v>79</v>
      </c>
      <c r="B196" s="3" t="s">
        <v>38</v>
      </c>
      <c r="C196" s="3" t="s">
        <v>20</v>
      </c>
      <c r="D196" s="2" t="s">
        <v>265</v>
      </c>
      <c r="E196" s="3" t="str">
        <f>dtbCommunities[[#This Row],[Island]]&amp;"-"&amp;dtbCommunities[[#This Row],[Area Council]]</f>
        <v>Maiwo-North</v>
      </c>
    </row>
    <row r="197" spans="1:5" x14ac:dyDescent="0.3">
      <c r="A197" s="3" t="s">
        <v>79</v>
      </c>
      <c r="B197" s="3" t="s">
        <v>38</v>
      </c>
      <c r="C197" s="3" t="s">
        <v>14</v>
      </c>
      <c r="D197" s="4" t="s">
        <v>266</v>
      </c>
      <c r="E197" s="3" t="str">
        <f>dtbCommunities[[#This Row],[Island]]&amp;"-"&amp;dtbCommunities[[#This Row],[Area Council]]</f>
        <v>Maiwo-South</v>
      </c>
    </row>
    <row r="198" spans="1:5" ht="15" customHeight="1" x14ac:dyDescent="0.3">
      <c r="A198" s="3" t="s">
        <v>79</v>
      </c>
      <c r="B198" s="3" t="s">
        <v>38</v>
      </c>
      <c r="C198" s="3" t="s">
        <v>14</v>
      </c>
      <c r="D198" s="2" t="s">
        <v>267</v>
      </c>
      <c r="E198" s="3" t="str">
        <f>dtbCommunities[[#This Row],[Island]]&amp;"-"&amp;dtbCommunities[[#This Row],[Area Council]]</f>
        <v>Maiwo-South</v>
      </c>
    </row>
    <row r="199" spans="1:5" x14ac:dyDescent="0.3">
      <c r="A199" s="3" t="s">
        <v>79</v>
      </c>
      <c r="B199" s="3" t="s">
        <v>38</v>
      </c>
      <c r="C199" s="3" t="s">
        <v>20</v>
      </c>
      <c r="D199" s="2" t="s">
        <v>268</v>
      </c>
      <c r="E199" s="3" t="str">
        <f>dtbCommunities[[#This Row],[Island]]&amp;"-"&amp;dtbCommunities[[#This Row],[Area Council]]</f>
        <v>Maiwo-North</v>
      </c>
    </row>
    <row r="200" spans="1:5" ht="15" customHeight="1" x14ac:dyDescent="0.3">
      <c r="A200" s="3" t="s">
        <v>79</v>
      </c>
      <c r="B200" s="3" t="s">
        <v>37</v>
      </c>
      <c r="C200" s="3" t="s">
        <v>21</v>
      </c>
      <c r="D200" s="2" t="s">
        <v>269</v>
      </c>
      <c r="E200" s="3" t="str">
        <f>dtbCommunities[[#This Row],[Island]]&amp;"-"&amp;dtbCommunities[[#This Row],[Area Council]]</f>
        <v>Ambea-East</v>
      </c>
    </row>
    <row r="201" spans="1:5" ht="15" customHeight="1" x14ac:dyDescent="0.3">
      <c r="A201" s="3" t="s">
        <v>79</v>
      </c>
      <c r="B201" s="3" t="s">
        <v>85</v>
      </c>
      <c r="C201" s="3" t="s">
        <v>14</v>
      </c>
      <c r="D201" s="2" t="s">
        <v>270</v>
      </c>
      <c r="E201" s="3" t="str">
        <f>dtbCommunities[[#This Row],[Island]]&amp;"-"&amp;dtbCommunities[[#This Row],[Area Council]]</f>
        <v>Bentacast-South</v>
      </c>
    </row>
    <row r="202" spans="1:5" ht="15" customHeight="1" x14ac:dyDescent="0.3">
      <c r="A202" s="3" t="s">
        <v>79</v>
      </c>
      <c r="B202" s="3" t="s">
        <v>85</v>
      </c>
      <c r="C202" s="3" t="s">
        <v>14</v>
      </c>
      <c r="D202" s="2" t="s">
        <v>271</v>
      </c>
      <c r="E202" s="3" t="str">
        <f>dtbCommunities[[#This Row],[Island]]&amp;"-"&amp;dtbCommunities[[#This Row],[Area Council]]</f>
        <v>Bentacast-South</v>
      </c>
    </row>
    <row r="203" spans="1:5" x14ac:dyDescent="0.3">
      <c r="A203" s="3" t="s">
        <v>79</v>
      </c>
      <c r="B203" s="3" t="s">
        <v>85</v>
      </c>
      <c r="C203" s="3" t="s">
        <v>14</v>
      </c>
      <c r="D203" s="2" t="s">
        <v>272</v>
      </c>
      <c r="E203" s="3" t="str">
        <f>dtbCommunities[[#This Row],[Island]]&amp;"-"&amp;dtbCommunities[[#This Row],[Area Council]]</f>
        <v>Bentacast-South</v>
      </c>
    </row>
    <row r="204" spans="1:5" ht="15" customHeight="1" x14ac:dyDescent="0.3">
      <c r="A204" s="3" t="s">
        <v>79</v>
      </c>
      <c r="B204" s="3" t="s">
        <v>85</v>
      </c>
      <c r="C204" s="3" t="s">
        <v>14</v>
      </c>
      <c r="D204" s="2" t="s">
        <v>273</v>
      </c>
      <c r="E204" s="3" t="str">
        <f>dtbCommunities[[#This Row],[Island]]&amp;"-"&amp;dtbCommunities[[#This Row],[Area Council]]</f>
        <v>Bentacast-South</v>
      </c>
    </row>
    <row r="205" spans="1:5" ht="15" customHeight="1" x14ac:dyDescent="0.3">
      <c r="A205" s="3" t="s">
        <v>79</v>
      </c>
      <c r="B205" s="3" t="s">
        <v>85</v>
      </c>
      <c r="C205" s="3" t="s">
        <v>14</v>
      </c>
      <c r="D205" s="3" t="s">
        <v>274</v>
      </c>
      <c r="E205" s="3" t="str">
        <f>dtbCommunities[[#This Row],[Island]]&amp;"-"&amp;dtbCommunities[[#This Row],[Area Council]]</f>
        <v>Bentacast-South</v>
      </c>
    </row>
    <row r="206" spans="1:5" ht="15" customHeight="1" x14ac:dyDescent="0.3">
      <c r="A206" s="3" t="s">
        <v>79</v>
      </c>
      <c r="B206" s="3" t="s">
        <v>85</v>
      </c>
      <c r="C206" s="3" t="s">
        <v>14</v>
      </c>
      <c r="D206" s="3" t="s">
        <v>275</v>
      </c>
      <c r="E206" s="3" t="str">
        <f>dtbCommunities[[#This Row],[Island]]&amp;"-"&amp;dtbCommunities[[#This Row],[Area Council]]</f>
        <v>Bentacast-South</v>
      </c>
    </row>
    <row r="207" spans="1:5" x14ac:dyDescent="0.3">
      <c r="A207" s="3" t="s">
        <v>79</v>
      </c>
      <c r="B207" s="3" t="s">
        <v>85</v>
      </c>
      <c r="C207" s="3" t="s">
        <v>14</v>
      </c>
      <c r="D207" s="2" t="s">
        <v>276</v>
      </c>
      <c r="E207" s="3" t="str">
        <f>dtbCommunities[[#This Row],[Island]]&amp;"-"&amp;dtbCommunities[[#This Row],[Area Council]]</f>
        <v>Bentacast-South</v>
      </c>
    </row>
    <row r="208" spans="1:5" ht="15" customHeight="1" x14ac:dyDescent="0.3">
      <c r="A208" s="3" t="s">
        <v>79</v>
      </c>
      <c r="B208" s="3" t="s">
        <v>38</v>
      </c>
      <c r="C208" s="3" t="s">
        <v>20</v>
      </c>
      <c r="D208" s="2" t="s">
        <v>277</v>
      </c>
      <c r="E208" s="3" t="str">
        <f>dtbCommunities[[#This Row],[Island]]&amp;"-"&amp;dtbCommunities[[#This Row],[Area Council]]</f>
        <v>Maiwo-North</v>
      </c>
    </row>
    <row r="209" spans="1:5" ht="15" customHeight="1" x14ac:dyDescent="0.3">
      <c r="A209" s="3" t="s">
        <v>79</v>
      </c>
      <c r="B209" s="3" t="s">
        <v>37</v>
      </c>
      <c r="C209" s="3" t="s">
        <v>14</v>
      </c>
      <c r="D209" s="2" t="s">
        <v>278</v>
      </c>
      <c r="E209" s="3" t="str">
        <f>dtbCommunities[[#This Row],[Island]]&amp;"-"&amp;dtbCommunities[[#This Row],[Area Council]]</f>
        <v>Ambea-South</v>
      </c>
    </row>
    <row r="210" spans="1:5" ht="15" customHeight="1" x14ac:dyDescent="0.3">
      <c r="A210" s="3" t="s">
        <v>79</v>
      </c>
      <c r="B210" s="3" t="s">
        <v>38</v>
      </c>
      <c r="C210" s="3" t="s">
        <v>14</v>
      </c>
      <c r="D210" s="2" t="s">
        <v>279</v>
      </c>
      <c r="E210" s="3" t="str">
        <f>dtbCommunities[[#This Row],[Island]]&amp;"-"&amp;dtbCommunities[[#This Row],[Area Council]]</f>
        <v>Maiwo-South</v>
      </c>
    </row>
    <row r="211" spans="1:5" ht="15" customHeight="1" x14ac:dyDescent="0.3">
      <c r="A211" s="3" t="s">
        <v>79</v>
      </c>
      <c r="B211" s="3" t="s">
        <v>37</v>
      </c>
      <c r="C211" s="3" t="s">
        <v>20</v>
      </c>
      <c r="D211" s="1" t="s">
        <v>280</v>
      </c>
      <c r="E211" s="3" t="str">
        <f>dtbCommunities[[#This Row],[Island]]&amp;"-"&amp;dtbCommunities[[#This Row],[Area Council]]</f>
        <v>Ambea-North</v>
      </c>
    </row>
    <row r="212" spans="1:5" ht="15" customHeight="1" x14ac:dyDescent="0.3">
      <c r="A212" s="3" t="s">
        <v>79</v>
      </c>
      <c r="B212" s="3" t="s">
        <v>37</v>
      </c>
      <c r="C212" s="3" t="s">
        <v>14</v>
      </c>
      <c r="D212" s="3" t="s">
        <v>281</v>
      </c>
      <c r="E212" s="3" t="str">
        <f>dtbCommunities[[#This Row],[Island]]&amp;"-"&amp;dtbCommunities[[#This Row],[Area Council]]</f>
        <v>Ambea-South</v>
      </c>
    </row>
    <row r="213" spans="1:5" ht="15" customHeight="1" x14ac:dyDescent="0.3">
      <c r="A213" s="3" t="s">
        <v>79</v>
      </c>
      <c r="B213" s="3" t="s">
        <v>37</v>
      </c>
      <c r="C213" s="3" t="s">
        <v>18</v>
      </c>
      <c r="D213" s="3" t="s">
        <v>282</v>
      </c>
      <c r="E213" s="3" t="str">
        <f>dtbCommunities[[#This Row],[Island]]&amp;"-"&amp;dtbCommunities[[#This Row],[Area Council]]</f>
        <v>Ambea-West</v>
      </c>
    </row>
    <row r="214" spans="1:5" ht="15" customHeight="1" x14ac:dyDescent="0.3">
      <c r="A214" s="3" t="s">
        <v>79</v>
      </c>
      <c r="B214" s="3" t="s">
        <v>37</v>
      </c>
      <c r="C214" s="3" t="s">
        <v>18</v>
      </c>
      <c r="D214" s="3" t="s">
        <v>283</v>
      </c>
      <c r="E214" s="3" t="str">
        <f>dtbCommunities[[#This Row],[Island]]&amp;"-"&amp;dtbCommunities[[#This Row],[Area Council]]</f>
        <v>Ambea-West</v>
      </c>
    </row>
    <row r="215" spans="1:5" ht="15" customHeight="1" x14ac:dyDescent="0.3">
      <c r="A215" s="3" t="s">
        <v>79</v>
      </c>
      <c r="B215" s="3" t="s">
        <v>37</v>
      </c>
      <c r="C215" s="3" t="s">
        <v>18</v>
      </c>
      <c r="D215" s="2" t="s">
        <v>284</v>
      </c>
      <c r="E215" s="3" t="str">
        <f>dtbCommunities[[#This Row],[Island]]&amp;"-"&amp;dtbCommunities[[#This Row],[Area Council]]</f>
        <v>Ambea-West</v>
      </c>
    </row>
    <row r="216" spans="1:5" ht="15" customHeight="1" x14ac:dyDescent="0.3">
      <c r="A216" s="3" t="s">
        <v>79</v>
      </c>
      <c r="B216" s="3" t="s">
        <v>37</v>
      </c>
      <c r="C216" s="3" t="s">
        <v>20</v>
      </c>
      <c r="D216" s="2" t="s">
        <v>285</v>
      </c>
      <c r="E216" s="3" t="str">
        <f>dtbCommunities[[#This Row],[Island]]&amp;"-"&amp;dtbCommunities[[#This Row],[Area Council]]</f>
        <v>Ambea-North</v>
      </c>
    </row>
    <row r="217" spans="1:5" ht="15" customHeight="1" x14ac:dyDescent="0.3">
      <c r="A217" s="3" t="s">
        <v>79</v>
      </c>
      <c r="B217" s="3" t="s">
        <v>37</v>
      </c>
      <c r="C217" s="3" t="s">
        <v>20</v>
      </c>
      <c r="D217" s="1" t="s">
        <v>286</v>
      </c>
      <c r="E217" s="3" t="str">
        <f>dtbCommunities[[#This Row],[Island]]&amp;"-"&amp;dtbCommunities[[#This Row],[Area Council]]</f>
        <v>Ambea-North</v>
      </c>
    </row>
    <row r="218" spans="1:5" ht="15" customHeight="1" x14ac:dyDescent="0.3">
      <c r="A218" s="3" t="s">
        <v>79</v>
      </c>
      <c r="B218" s="3" t="s">
        <v>85</v>
      </c>
      <c r="C218" s="3" t="s">
        <v>14</v>
      </c>
      <c r="D218" s="2" t="s">
        <v>287</v>
      </c>
      <c r="E218" s="3" t="str">
        <f>dtbCommunities[[#This Row],[Island]]&amp;"-"&amp;dtbCommunities[[#This Row],[Area Council]]</f>
        <v>Bentacast-South</v>
      </c>
    </row>
    <row r="219" spans="1:5" ht="15" customHeight="1" x14ac:dyDescent="0.3">
      <c r="A219" s="3" t="s">
        <v>79</v>
      </c>
      <c r="B219" s="3" t="s">
        <v>85</v>
      </c>
      <c r="C219" s="3" t="s">
        <v>14</v>
      </c>
      <c r="D219" s="1" t="s">
        <v>288</v>
      </c>
      <c r="E219" s="3" t="str">
        <f>dtbCommunities[[#This Row],[Island]]&amp;"-"&amp;dtbCommunities[[#This Row],[Area Council]]</f>
        <v>Bentacast-South</v>
      </c>
    </row>
    <row r="220" spans="1:5" x14ac:dyDescent="0.3">
      <c r="A220" s="3" t="s">
        <v>80</v>
      </c>
      <c r="B220" s="3" t="s">
        <v>39</v>
      </c>
      <c r="C220" s="3" t="s">
        <v>21</v>
      </c>
      <c r="D220" s="4" t="s">
        <v>289</v>
      </c>
      <c r="E220" s="3" t="str">
        <f>dtbCommunities[[#This Row],[Island]]&amp;"-"&amp;dtbCommunities[[#This Row],[Area Council]]</f>
        <v>Milu-East</v>
      </c>
    </row>
    <row r="221" spans="1:5" x14ac:dyDescent="0.3">
      <c r="A221" s="3" t="s">
        <v>80</v>
      </c>
      <c r="B221" s="3" t="s">
        <v>39</v>
      </c>
      <c r="C221" s="3" t="s">
        <v>21</v>
      </c>
      <c r="D221" s="3" t="s">
        <v>290</v>
      </c>
      <c r="E221" s="3" t="str">
        <f>dtbCommunities[[#This Row],[Island]]&amp;"-"&amp;dtbCommunities[[#This Row],[Area Council]]</f>
        <v>Milu-East</v>
      </c>
    </row>
    <row r="222" spans="1:5" x14ac:dyDescent="0.3">
      <c r="A222" s="3" t="s">
        <v>80</v>
      </c>
      <c r="B222" s="3" t="s">
        <v>40</v>
      </c>
      <c r="C222" s="3" t="s">
        <v>16</v>
      </c>
      <c r="D222" s="4" t="s">
        <v>291</v>
      </c>
      <c r="E222" s="3" t="str">
        <f>dtbCommunities[[#This Row],[Island]]&amp;"-"&amp;dtbCommunities[[#This Row],[Area Council]]</f>
        <v>Santa-South East</v>
      </c>
    </row>
    <row r="223" spans="1:5" x14ac:dyDescent="0.3">
      <c r="A223" s="3" t="s">
        <v>80</v>
      </c>
      <c r="B223" s="3" t="s">
        <v>40</v>
      </c>
      <c r="C223" s="3" t="s">
        <v>14</v>
      </c>
      <c r="D223" s="4" t="s">
        <v>292</v>
      </c>
      <c r="E223" s="3" t="str">
        <f>dtbCommunities[[#This Row],[Island]]&amp;"-"&amp;dtbCommunities[[#This Row],[Area Council]]</f>
        <v>Santa-South</v>
      </c>
    </row>
    <row r="224" spans="1:5" x14ac:dyDescent="0.3">
      <c r="A224" s="3" t="s">
        <v>80</v>
      </c>
      <c r="B224" s="3" t="s">
        <v>40</v>
      </c>
      <c r="C224" s="3" t="s">
        <v>16</v>
      </c>
      <c r="D224" s="4" t="s">
        <v>293</v>
      </c>
      <c r="E224" s="3" t="str">
        <f>dtbCommunities[[#This Row],[Island]]&amp;"-"&amp;dtbCommunities[[#This Row],[Area Council]]</f>
        <v>Santa-South East</v>
      </c>
    </row>
    <row r="225" spans="1:5" x14ac:dyDescent="0.3">
      <c r="A225" s="3" t="s">
        <v>80</v>
      </c>
      <c r="B225" s="3" t="s">
        <v>39</v>
      </c>
      <c r="C225" s="3" t="s">
        <v>18</v>
      </c>
      <c r="D225" s="4" t="s">
        <v>294</v>
      </c>
      <c r="E225" s="3" t="str">
        <f>dtbCommunities[[#This Row],[Island]]&amp;"-"&amp;dtbCommunities[[#This Row],[Area Council]]</f>
        <v>Milu-West</v>
      </c>
    </row>
    <row r="226" spans="1:5" x14ac:dyDescent="0.3">
      <c r="A226" s="3" t="s">
        <v>80</v>
      </c>
      <c r="B226" s="3" t="s">
        <v>39</v>
      </c>
      <c r="C226" s="3" t="s">
        <v>21</v>
      </c>
      <c r="D226" s="4" t="s">
        <v>295</v>
      </c>
      <c r="E226" s="3" t="str">
        <f>dtbCommunities[[#This Row],[Island]]&amp;"-"&amp;dtbCommunities[[#This Row],[Area Council]]</f>
        <v>Milu-East</v>
      </c>
    </row>
    <row r="227" spans="1:5" x14ac:dyDescent="0.3">
      <c r="A227" s="3" t="s">
        <v>80</v>
      </c>
      <c r="B227" s="3" t="s">
        <v>39</v>
      </c>
      <c r="C227" s="3" t="s">
        <v>18</v>
      </c>
      <c r="D227" s="4" t="s">
        <v>296</v>
      </c>
      <c r="E227" s="3" t="str">
        <f>dtbCommunities[[#This Row],[Island]]&amp;"-"&amp;dtbCommunities[[#This Row],[Area Council]]</f>
        <v>Milu-West</v>
      </c>
    </row>
    <row r="228" spans="1:5" x14ac:dyDescent="0.3">
      <c r="A228" s="3" t="s">
        <v>80</v>
      </c>
      <c r="B228" s="3" t="s">
        <v>39</v>
      </c>
      <c r="C228" s="3" t="s">
        <v>18</v>
      </c>
      <c r="D228" s="4" t="s">
        <v>297</v>
      </c>
      <c r="E228" s="3" t="str">
        <f>dtbCommunities[[#This Row],[Island]]&amp;"-"&amp;dtbCommunities[[#This Row],[Area Council]]</f>
        <v>Milu-West</v>
      </c>
    </row>
    <row r="229" spans="1:5" x14ac:dyDescent="0.3">
      <c r="A229" s="3" t="s">
        <v>80</v>
      </c>
      <c r="B229" s="3" t="s">
        <v>39</v>
      </c>
      <c r="C229" s="3" t="s">
        <v>18</v>
      </c>
      <c r="D229" s="4" t="s">
        <v>298</v>
      </c>
      <c r="E229" s="3" t="str">
        <f>dtbCommunities[[#This Row],[Island]]&amp;"-"&amp;dtbCommunities[[#This Row],[Area Council]]</f>
        <v>Milu-West</v>
      </c>
    </row>
    <row r="230" spans="1:5" x14ac:dyDescent="0.3">
      <c r="A230" s="3" t="s">
        <v>80</v>
      </c>
      <c r="B230" s="3" t="s">
        <v>40</v>
      </c>
      <c r="C230" s="3" t="s">
        <v>21</v>
      </c>
      <c r="D230" s="3" t="s">
        <v>299</v>
      </c>
      <c r="E230" s="3" t="str">
        <f>dtbCommunities[[#This Row],[Island]]&amp;"-"&amp;dtbCommunities[[#This Row],[Area Council]]</f>
        <v>Santa-East</v>
      </c>
    </row>
    <row r="231" spans="1:5" x14ac:dyDescent="0.3">
      <c r="A231" s="3" t="s">
        <v>80</v>
      </c>
      <c r="B231" s="3" t="s">
        <v>39</v>
      </c>
      <c r="C231" s="3" t="s">
        <v>18</v>
      </c>
      <c r="D231" s="4" t="s">
        <v>602</v>
      </c>
      <c r="E231" s="3" t="str">
        <f>dtbCommunities[[#This Row],[Island]]&amp;"-"&amp;dtbCommunities[[#This Row],[Area Council]]</f>
        <v>Milu-West</v>
      </c>
    </row>
    <row r="232" spans="1:5" x14ac:dyDescent="0.3">
      <c r="A232" s="3" t="s">
        <v>80</v>
      </c>
      <c r="B232" s="3" t="s">
        <v>40</v>
      </c>
      <c r="C232" s="3" t="s">
        <v>21</v>
      </c>
      <c r="D232" s="5" t="s">
        <v>300</v>
      </c>
      <c r="E232" s="3" t="str">
        <f>dtbCommunities[[#This Row],[Island]]&amp;"-"&amp;dtbCommunities[[#This Row],[Area Council]]</f>
        <v>Santa-East</v>
      </c>
    </row>
    <row r="233" spans="1:5" x14ac:dyDescent="0.3">
      <c r="A233" s="3" t="s">
        <v>80</v>
      </c>
      <c r="B233" s="3" t="s">
        <v>40</v>
      </c>
      <c r="C233" s="3" t="s">
        <v>16</v>
      </c>
      <c r="D233" s="4" t="s">
        <v>301</v>
      </c>
      <c r="E233" s="3" t="str">
        <f>dtbCommunities[[#This Row],[Island]]&amp;"-"&amp;dtbCommunities[[#This Row],[Area Council]]</f>
        <v>Santa-South East</v>
      </c>
    </row>
    <row r="234" spans="1:5" x14ac:dyDescent="0.3">
      <c r="A234" s="3" t="s">
        <v>80</v>
      </c>
      <c r="B234" s="3" t="s">
        <v>40</v>
      </c>
      <c r="C234" s="3" t="s">
        <v>16</v>
      </c>
      <c r="D234" s="4" t="s">
        <v>302</v>
      </c>
      <c r="E234" s="3" t="str">
        <f>dtbCommunities[[#This Row],[Island]]&amp;"-"&amp;dtbCommunities[[#This Row],[Area Council]]</f>
        <v>Santa-South East</v>
      </c>
    </row>
    <row r="235" spans="1:5" x14ac:dyDescent="0.3">
      <c r="A235" s="3" t="s">
        <v>80</v>
      </c>
      <c r="B235" s="3" t="s">
        <v>40</v>
      </c>
      <c r="C235" s="3" t="s">
        <v>16</v>
      </c>
      <c r="D235" s="4" t="s">
        <v>303</v>
      </c>
      <c r="E235" s="3" t="str">
        <f>dtbCommunities[[#This Row],[Island]]&amp;"-"&amp;dtbCommunities[[#This Row],[Area Council]]</f>
        <v>Santa-South East</v>
      </c>
    </row>
    <row r="236" spans="1:5" x14ac:dyDescent="0.3">
      <c r="A236" s="3" t="s">
        <v>80</v>
      </c>
      <c r="B236" s="3" t="s">
        <v>40</v>
      </c>
      <c r="C236" s="3" t="s">
        <v>18</v>
      </c>
      <c r="D236" s="4" t="s">
        <v>304</v>
      </c>
      <c r="E236" s="3" t="str">
        <f>dtbCommunities[[#This Row],[Island]]&amp;"-"&amp;dtbCommunities[[#This Row],[Area Council]]</f>
        <v>Santa-West</v>
      </c>
    </row>
    <row r="237" spans="1:5" x14ac:dyDescent="0.3">
      <c r="A237" s="3" t="s">
        <v>80</v>
      </c>
      <c r="B237" s="3" t="s">
        <v>40</v>
      </c>
      <c r="C237" s="3" t="s">
        <v>16</v>
      </c>
      <c r="D237" s="4" t="s">
        <v>305</v>
      </c>
      <c r="E237" s="3" t="str">
        <f>dtbCommunities[[#This Row],[Island]]&amp;"-"&amp;dtbCommunities[[#This Row],[Area Council]]</f>
        <v>Santa-South East</v>
      </c>
    </row>
    <row r="238" spans="1:5" x14ac:dyDescent="0.3">
      <c r="A238" s="3" t="s">
        <v>80</v>
      </c>
      <c r="B238" s="3" t="s">
        <v>40</v>
      </c>
      <c r="C238" s="3" t="s">
        <v>14</v>
      </c>
      <c r="D238" s="4" t="s">
        <v>306</v>
      </c>
      <c r="E238" s="3" t="str">
        <f>dtbCommunities[[#This Row],[Island]]&amp;"-"&amp;dtbCommunities[[#This Row],[Area Council]]</f>
        <v>Santa-South</v>
      </c>
    </row>
    <row r="239" spans="1:5" x14ac:dyDescent="0.3">
      <c r="A239" s="3" t="s">
        <v>80</v>
      </c>
      <c r="B239" s="3" t="s">
        <v>40</v>
      </c>
      <c r="C239" s="3" t="s">
        <v>21</v>
      </c>
      <c r="D239" s="4" t="s">
        <v>307</v>
      </c>
      <c r="E239" s="3" t="str">
        <f>dtbCommunities[[#This Row],[Island]]&amp;"-"&amp;dtbCommunities[[#This Row],[Area Council]]</f>
        <v>Santa-East</v>
      </c>
    </row>
    <row r="240" spans="1:5" x14ac:dyDescent="0.3">
      <c r="A240" s="3" t="s">
        <v>80</v>
      </c>
      <c r="B240" s="3" t="s">
        <v>40</v>
      </c>
      <c r="C240" s="3" t="s">
        <v>14</v>
      </c>
      <c r="D240" s="4" t="s">
        <v>308</v>
      </c>
      <c r="E240" s="3" t="str">
        <f>dtbCommunities[[#This Row],[Island]]&amp;"-"&amp;dtbCommunities[[#This Row],[Area Council]]</f>
        <v>Santa-South</v>
      </c>
    </row>
    <row r="241" spans="1:5" x14ac:dyDescent="0.3">
      <c r="A241" s="3" t="s">
        <v>80</v>
      </c>
      <c r="B241" s="3" t="s">
        <v>40</v>
      </c>
      <c r="C241" s="3" t="s">
        <v>14</v>
      </c>
      <c r="D241" s="4" t="s">
        <v>309</v>
      </c>
      <c r="E241" s="3" t="str">
        <f>dtbCommunities[[#This Row],[Island]]&amp;"-"&amp;dtbCommunities[[#This Row],[Area Council]]</f>
        <v>Santa-South</v>
      </c>
    </row>
    <row r="242" spans="1:5" x14ac:dyDescent="0.3">
      <c r="A242" s="3" t="s">
        <v>80</v>
      </c>
      <c r="B242" s="3" t="s">
        <v>40</v>
      </c>
      <c r="C242" s="3" t="s">
        <v>18</v>
      </c>
      <c r="D242" s="3" t="s">
        <v>310</v>
      </c>
      <c r="E242" s="3" t="str">
        <f>dtbCommunities[[#This Row],[Island]]&amp;"-"&amp;dtbCommunities[[#This Row],[Area Council]]</f>
        <v>Santa-West</v>
      </c>
    </row>
    <row r="243" spans="1:5" x14ac:dyDescent="0.3">
      <c r="A243" s="3" t="s">
        <v>80</v>
      </c>
      <c r="B243" s="3" t="s">
        <v>40</v>
      </c>
      <c r="C243" s="3" t="s">
        <v>18</v>
      </c>
      <c r="D243" s="4" t="s">
        <v>311</v>
      </c>
      <c r="E243" s="3" t="str">
        <f>dtbCommunities[[#This Row],[Island]]&amp;"-"&amp;dtbCommunities[[#This Row],[Area Council]]</f>
        <v>Santa-West</v>
      </c>
    </row>
    <row r="244" spans="1:5" x14ac:dyDescent="0.3">
      <c r="A244" s="3" t="s">
        <v>80</v>
      </c>
      <c r="B244" s="3" t="s">
        <v>40</v>
      </c>
      <c r="C244" s="3" t="s">
        <v>21</v>
      </c>
      <c r="D244" s="3" t="s">
        <v>312</v>
      </c>
      <c r="E244" s="3" t="str">
        <f>dtbCommunities[[#This Row],[Island]]&amp;"-"&amp;dtbCommunities[[#This Row],[Area Council]]</f>
        <v>Santa-East</v>
      </c>
    </row>
    <row r="245" spans="1:5" x14ac:dyDescent="0.3">
      <c r="A245" s="3" t="s">
        <v>80</v>
      </c>
      <c r="B245" s="3" t="s">
        <v>40</v>
      </c>
      <c r="C245" s="3" t="s">
        <v>21</v>
      </c>
      <c r="D245" s="4" t="s">
        <v>313</v>
      </c>
      <c r="E245" s="3" t="str">
        <f>dtbCommunities[[#This Row],[Island]]&amp;"-"&amp;dtbCommunities[[#This Row],[Area Council]]</f>
        <v>Santa-East</v>
      </c>
    </row>
    <row r="246" spans="1:5" x14ac:dyDescent="0.3">
      <c r="A246" s="3" t="s">
        <v>80</v>
      </c>
      <c r="B246" s="3" t="s">
        <v>40</v>
      </c>
      <c r="C246" s="3" t="s">
        <v>21</v>
      </c>
      <c r="D246" s="3" t="s">
        <v>314</v>
      </c>
      <c r="E246" s="3" t="str">
        <f>dtbCommunities[[#This Row],[Island]]&amp;"-"&amp;dtbCommunities[[#This Row],[Area Council]]</f>
        <v>Santa-East</v>
      </c>
    </row>
    <row r="247" spans="1:5" x14ac:dyDescent="0.3">
      <c r="A247" s="3" t="s">
        <v>80</v>
      </c>
      <c r="B247" s="3" t="s">
        <v>40</v>
      </c>
      <c r="C247" s="3" t="s">
        <v>21</v>
      </c>
      <c r="D247" s="3" t="s">
        <v>315</v>
      </c>
      <c r="E247" s="3" t="str">
        <f>dtbCommunities[[#This Row],[Island]]&amp;"-"&amp;dtbCommunities[[#This Row],[Area Council]]</f>
        <v>Santa-East</v>
      </c>
    </row>
    <row r="248" spans="1:5" x14ac:dyDescent="0.3">
      <c r="A248" s="3" t="s">
        <v>80</v>
      </c>
      <c r="B248" s="3" t="s">
        <v>40</v>
      </c>
      <c r="C248" s="3" t="s">
        <v>18</v>
      </c>
      <c r="D248" s="4" t="s">
        <v>316</v>
      </c>
      <c r="E248" s="3" t="str">
        <f>dtbCommunities[[#This Row],[Island]]&amp;"-"&amp;dtbCommunities[[#This Row],[Area Council]]</f>
        <v>Santa-West</v>
      </c>
    </row>
    <row r="249" spans="1:5" x14ac:dyDescent="0.3">
      <c r="A249" s="3" t="s">
        <v>80</v>
      </c>
      <c r="B249" s="3" t="s">
        <v>40</v>
      </c>
      <c r="C249" s="3" t="s">
        <v>21</v>
      </c>
      <c r="D249" s="5" t="s">
        <v>317</v>
      </c>
      <c r="E249" s="3" t="str">
        <f>dtbCommunities[[#This Row],[Island]]&amp;"-"&amp;dtbCommunities[[#This Row],[Area Council]]</f>
        <v>Santa-East</v>
      </c>
    </row>
    <row r="250" spans="1:5" x14ac:dyDescent="0.3">
      <c r="A250" s="3" t="s">
        <v>80</v>
      </c>
      <c r="B250" s="3" t="s">
        <v>40</v>
      </c>
      <c r="C250" s="3" t="s">
        <v>21</v>
      </c>
      <c r="D250" s="3" t="s">
        <v>318</v>
      </c>
      <c r="E250" s="3" t="str">
        <f>dtbCommunities[[#This Row],[Island]]&amp;"-"&amp;dtbCommunities[[#This Row],[Area Council]]</f>
        <v>Santa-East</v>
      </c>
    </row>
    <row r="251" spans="1:5" x14ac:dyDescent="0.3">
      <c r="A251" s="3" t="s">
        <v>80</v>
      </c>
      <c r="B251" s="3" t="s">
        <v>40</v>
      </c>
      <c r="C251" s="3" t="s">
        <v>21</v>
      </c>
      <c r="D251" s="4" t="s">
        <v>10</v>
      </c>
      <c r="E251" s="3" t="str">
        <f>dtbCommunities[[#This Row],[Island]]&amp;"-"&amp;dtbCommunities[[#This Row],[Area Council]]</f>
        <v>Santa-East</v>
      </c>
    </row>
    <row r="252" spans="1:5" x14ac:dyDescent="0.3">
      <c r="A252" s="3" t="s">
        <v>80</v>
      </c>
      <c r="B252" s="3" t="s">
        <v>40</v>
      </c>
      <c r="C252" s="3" t="s">
        <v>21</v>
      </c>
      <c r="D252" s="4" t="s">
        <v>319</v>
      </c>
      <c r="E252" s="3" t="str">
        <f>dtbCommunities[[#This Row],[Island]]&amp;"-"&amp;dtbCommunities[[#This Row],[Area Council]]</f>
        <v>Santa-East</v>
      </c>
    </row>
    <row r="253" spans="1:5" x14ac:dyDescent="0.3">
      <c r="A253" s="3" t="s">
        <v>80</v>
      </c>
      <c r="B253" s="3" t="s">
        <v>40</v>
      </c>
      <c r="C253" s="3" t="s">
        <v>20</v>
      </c>
      <c r="D253" s="3" t="s">
        <v>320</v>
      </c>
      <c r="E253" s="3" t="str">
        <f>dtbCommunities[[#This Row],[Island]]&amp;"-"&amp;dtbCommunities[[#This Row],[Area Council]]</f>
        <v>Santa-North</v>
      </c>
    </row>
    <row r="254" spans="1:5" x14ac:dyDescent="0.3">
      <c r="A254" s="3" t="s">
        <v>80</v>
      </c>
      <c r="B254" s="3" t="s">
        <v>40</v>
      </c>
      <c r="C254" s="3" t="s">
        <v>20</v>
      </c>
      <c r="D254" s="4" t="s">
        <v>321</v>
      </c>
      <c r="E254" s="3" t="str">
        <f>dtbCommunities[[#This Row],[Island]]&amp;"-"&amp;dtbCommunities[[#This Row],[Area Council]]</f>
        <v>Santa-North</v>
      </c>
    </row>
    <row r="255" spans="1:5" x14ac:dyDescent="0.3">
      <c r="A255" s="3" t="s">
        <v>80</v>
      </c>
      <c r="B255" s="3" t="s">
        <v>40</v>
      </c>
      <c r="C255" s="3" t="s">
        <v>21</v>
      </c>
      <c r="D255" s="5" t="s">
        <v>322</v>
      </c>
      <c r="E255" s="3" t="str">
        <f>dtbCommunities[[#This Row],[Island]]&amp;"-"&amp;dtbCommunities[[#This Row],[Area Council]]</f>
        <v>Santa-East</v>
      </c>
    </row>
    <row r="256" spans="1:5" x14ac:dyDescent="0.3">
      <c r="A256" s="3" t="s">
        <v>80</v>
      </c>
      <c r="B256" s="3" t="s">
        <v>40</v>
      </c>
      <c r="C256" s="3" t="s">
        <v>20</v>
      </c>
      <c r="D256" s="3" t="s">
        <v>323</v>
      </c>
      <c r="E256" s="3" t="str">
        <f>dtbCommunities[[#This Row],[Island]]&amp;"-"&amp;dtbCommunities[[#This Row],[Area Council]]</f>
        <v>Santa-North</v>
      </c>
    </row>
    <row r="257" spans="1:5" x14ac:dyDescent="0.3">
      <c r="A257" s="3" t="s">
        <v>80</v>
      </c>
      <c r="B257" s="3" t="s">
        <v>40</v>
      </c>
      <c r="C257" s="3" t="s">
        <v>16</v>
      </c>
      <c r="D257" s="4" t="s">
        <v>324</v>
      </c>
      <c r="E257" s="3" t="str">
        <f>dtbCommunities[[#This Row],[Island]]&amp;"-"&amp;dtbCommunities[[#This Row],[Area Council]]</f>
        <v>Santa-South East</v>
      </c>
    </row>
    <row r="258" spans="1:5" x14ac:dyDescent="0.3">
      <c r="A258" s="3" t="s">
        <v>80</v>
      </c>
      <c r="B258" s="3" t="s">
        <v>40</v>
      </c>
      <c r="C258" s="3" t="s">
        <v>15</v>
      </c>
      <c r="D258" s="4" t="s">
        <v>325</v>
      </c>
      <c r="E258" s="3" t="str">
        <f>dtbCommunities[[#This Row],[Island]]&amp;"-"&amp;dtbCommunities[[#This Row],[Area Council]]</f>
        <v>Santa-North West</v>
      </c>
    </row>
    <row r="259" spans="1:5" x14ac:dyDescent="0.3">
      <c r="A259" s="3" t="s">
        <v>80</v>
      </c>
      <c r="B259" s="3" t="s">
        <v>40</v>
      </c>
      <c r="C259" s="3" t="s">
        <v>14</v>
      </c>
      <c r="D259" s="4" t="s">
        <v>326</v>
      </c>
      <c r="E259" s="3" t="str">
        <f>dtbCommunities[[#This Row],[Island]]&amp;"-"&amp;dtbCommunities[[#This Row],[Area Council]]</f>
        <v>Santa-South</v>
      </c>
    </row>
    <row r="260" spans="1:5" x14ac:dyDescent="0.3">
      <c r="A260" s="3" t="s">
        <v>80</v>
      </c>
      <c r="B260" s="3" t="s">
        <v>40</v>
      </c>
      <c r="C260" s="3" t="s">
        <v>14</v>
      </c>
      <c r="D260" s="4" t="s">
        <v>327</v>
      </c>
      <c r="E260" s="3" t="str">
        <f>dtbCommunities[[#This Row],[Island]]&amp;"-"&amp;dtbCommunities[[#This Row],[Area Council]]</f>
        <v>Santa-South</v>
      </c>
    </row>
    <row r="261" spans="1:5" x14ac:dyDescent="0.3">
      <c r="A261" s="3" t="s">
        <v>80</v>
      </c>
      <c r="B261" s="3" t="s">
        <v>40</v>
      </c>
      <c r="C261" s="3" t="s">
        <v>16</v>
      </c>
      <c r="D261" s="5" t="s">
        <v>328</v>
      </c>
      <c r="E261" s="3" t="str">
        <f>dtbCommunities[[#This Row],[Island]]&amp;"-"&amp;dtbCommunities[[#This Row],[Area Council]]</f>
        <v>Santa-South East</v>
      </c>
    </row>
    <row r="262" spans="1:5" x14ac:dyDescent="0.3">
      <c r="A262" s="3" t="s">
        <v>80</v>
      </c>
      <c r="B262" s="3" t="s">
        <v>40</v>
      </c>
      <c r="C262" s="3" t="s">
        <v>14</v>
      </c>
      <c r="D262" s="4" t="s">
        <v>329</v>
      </c>
      <c r="E262" s="3" t="str">
        <f>dtbCommunities[[#This Row],[Island]]&amp;"-"&amp;dtbCommunities[[#This Row],[Area Council]]</f>
        <v>Santa-South</v>
      </c>
    </row>
    <row r="263" spans="1:5" x14ac:dyDescent="0.3">
      <c r="A263" s="3" t="s">
        <v>80</v>
      </c>
      <c r="B263" s="3" t="s">
        <v>40</v>
      </c>
      <c r="C263" s="3" t="s">
        <v>14</v>
      </c>
      <c r="D263" s="3" t="s">
        <v>330</v>
      </c>
      <c r="E263" s="3" t="str">
        <f>dtbCommunities[[#This Row],[Island]]&amp;"-"&amp;dtbCommunities[[#This Row],[Area Council]]</f>
        <v>Santa-South</v>
      </c>
    </row>
    <row r="264" spans="1:5" x14ac:dyDescent="0.3">
      <c r="A264" s="3" t="s">
        <v>80</v>
      </c>
      <c r="B264" s="3" t="s">
        <v>40</v>
      </c>
      <c r="C264" s="3" t="s">
        <v>21</v>
      </c>
      <c r="D264" s="4" t="s">
        <v>603</v>
      </c>
      <c r="E264" s="3" t="str">
        <f>dtbCommunities[[#This Row],[Island]]&amp;"-"&amp;dtbCommunities[[#This Row],[Area Council]]</f>
        <v>Santa-East</v>
      </c>
    </row>
    <row r="265" spans="1:5" x14ac:dyDescent="0.3">
      <c r="A265" s="3" t="s">
        <v>80</v>
      </c>
      <c r="B265" s="3" t="s">
        <v>40</v>
      </c>
      <c r="C265" s="3" t="s">
        <v>15</v>
      </c>
      <c r="D265" s="4" t="s">
        <v>331</v>
      </c>
      <c r="E265" s="3" t="str">
        <f>dtbCommunities[[#This Row],[Island]]&amp;"-"&amp;dtbCommunities[[#This Row],[Area Council]]</f>
        <v>Santa-North West</v>
      </c>
    </row>
    <row r="266" spans="1:5" x14ac:dyDescent="0.3">
      <c r="A266" s="3" t="s">
        <v>80</v>
      </c>
      <c r="B266" s="3" t="s">
        <v>40</v>
      </c>
      <c r="C266" s="3" t="s">
        <v>15</v>
      </c>
      <c r="D266" s="4" t="s">
        <v>332</v>
      </c>
      <c r="E266" s="3" t="str">
        <f>dtbCommunities[[#This Row],[Island]]&amp;"-"&amp;dtbCommunities[[#This Row],[Area Council]]</f>
        <v>Santa-North West</v>
      </c>
    </row>
    <row r="267" spans="1:5" x14ac:dyDescent="0.3">
      <c r="A267" s="3" t="s">
        <v>80</v>
      </c>
      <c r="B267" s="3" t="s">
        <v>40</v>
      </c>
      <c r="C267" s="3" t="s">
        <v>14</v>
      </c>
      <c r="D267" s="4" t="s">
        <v>333</v>
      </c>
      <c r="E267" s="3" t="str">
        <f>dtbCommunities[[#This Row],[Island]]&amp;"-"&amp;dtbCommunities[[#This Row],[Area Council]]</f>
        <v>Santa-South</v>
      </c>
    </row>
    <row r="268" spans="1:5" x14ac:dyDescent="0.3">
      <c r="A268" s="3" t="s">
        <v>80</v>
      </c>
      <c r="B268" s="3" t="s">
        <v>40</v>
      </c>
      <c r="C268" s="3" t="s">
        <v>14</v>
      </c>
      <c r="D268" s="4" t="s">
        <v>334</v>
      </c>
      <c r="E268" s="3" t="str">
        <f>dtbCommunities[[#This Row],[Island]]&amp;"-"&amp;dtbCommunities[[#This Row],[Area Council]]</f>
        <v>Santa-South</v>
      </c>
    </row>
    <row r="269" spans="1:5" x14ac:dyDescent="0.3">
      <c r="A269" s="3" t="s">
        <v>80</v>
      </c>
      <c r="B269" s="3" t="s">
        <v>40</v>
      </c>
      <c r="C269" s="3" t="s">
        <v>20</v>
      </c>
      <c r="D269" s="3" t="s">
        <v>335</v>
      </c>
      <c r="E269" s="3" t="str">
        <f>dtbCommunities[[#This Row],[Island]]&amp;"-"&amp;dtbCommunities[[#This Row],[Area Council]]</f>
        <v>Santa-North</v>
      </c>
    </row>
    <row r="270" spans="1:5" x14ac:dyDescent="0.3">
      <c r="A270" s="3" t="s">
        <v>80</v>
      </c>
      <c r="B270" s="3" t="s">
        <v>40</v>
      </c>
      <c r="C270" s="3" t="s">
        <v>15</v>
      </c>
      <c r="D270" s="4" t="s">
        <v>336</v>
      </c>
      <c r="E270" s="3" t="str">
        <f>dtbCommunities[[#This Row],[Island]]&amp;"-"&amp;dtbCommunities[[#This Row],[Area Council]]</f>
        <v>Santa-North West</v>
      </c>
    </row>
    <row r="271" spans="1:5" x14ac:dyDescent="0.3">
      <c r="A271" s="3" t="s">
        <v>80</v>
      </c>
      <c r="B271" s="3" t="s">
        <v>40</v>
      </c>
      <c r="C271" s="3" t="s">
        <v>15</v>
      </c>
      <c r="D271" s="4" t="s">
        <v>337</v>
      </c>
      <c r="E271" s="3" t="str">
        <f>dtbCommunities[[#This Row],[Island]]&amp;"-"&amp;dtbCommunities[[#This Row],[Area Council]]</f>
        <v>Santa-North West</v>
      </c>
    </row>
    <row r="272" spans="1:5" x14ac:dyDescent="0.3">
      <c r="A272" s="3" t="s">
        <v>80</v>
      </c>
      <c r="B272" s="3" t="s">
        <v>40</v>
      </c>
      <c r="C272" s="3" t="s">
        <v>20</v>
      </c>
      <c r="D272" s="4" t="s">
        <v>338</v>
      </c>
      <c r="E272" s="3" t="str">
        <f>dtbCommunities[[#This Row],[Island]]&amp;"-"&amp;dtbCommunities[[#This Row],[Area Council]]</f>
        <v>Santa-North</v>
      </c>
    </row>
    <row r="273" spans="1:5" x14ac:dyDescent="0.3">
      <c r="A273" s="3" t="s">
        <v>80</v>
      </c>
      <c r="B273" s="3" t="s">
        <v>40</v>
      </c>
      <c r="C273" s="3" t="s">
        <v>15</v>
      </c>
      <c r="D273" s="4" t="s">
        <v>339</v>
      </c>
      <c r="E273" s="3" t="str">
        <f>dtbCommunities[[#This Row],[Island]]&amp;"-"&amp;dtbCommunities[[#This Row],[Area Council]]</f>
        <v>Santa-North West</v>
      </c>
    </row>
    <row r="274" spans="1:5" x14ac:dyDescent="0.3">
      <c r="A274" s="3" t="s">
        <v>80</v>
      </c>
      <c r="B274" s="3" t="s">
        <v>40</v>
      </c>
      <c r="C274" s="3" t="s">
        <v>15</v>
      </c>
      <c r="D274" s="4" t="s">
        <v>340</v>
      </c>
      <c r="E274" s="3" t="str">
        <f>dtbCommunities[[#This Row],[Island]]&amp;"-"&amp;dtbCommunities[[#This Row],[Area Council]]</f>
        <v>Santa-North West</v>
      </c>
    </row>
    <row r="275" spans="1:5" x14ac:dyDescent="0.3">
      <c r="A275" s="3" t="s">
        <v>80</v>
      </c>
      <c r="B275" s="3" t="s">
        <v>40</v>
      </c>
      <c r="C275" s="3" t="s">
        <v>16</v>
      </c>
      <c r="D275" s="5" t="s">
        <v>341</v>
      </c>
      <c r="E275" s="3" t="str">
        <f>dtbCommunities[[#This Row],[Island]]&amp;"-"&amp;dtbCommunities[[#This Row],[Area Council]]</f>
        <v>Santa-South East</v>
      </c>
    </row>
    <row r="276" spans="1:5" x14ac:dyDescent="0.3">
      <c r="A276" s="3" t="s">
        <v>80</v>
      </c>
      <c r="B276" s="3" t="s">
        <v>40</v>
      </c>
      <c r="C276" s="3" t="s">
        <v>21</v>
      </c>
      <c r="D276" s="4" t="s">
        <v>342</v>
      </c>
      <c r="E276" s="3" t="str">
        <f>dtbCommunities[[#This Row],[Island]]&amp;"-"&amp;dtbCommunities[[#This Row],[Area Council]]</f>
        <v>Santa-East</v>
      </c>
    </row>
    <row r="277" spans="1:5" x14ac:dyDescent="0.3">
      <c r="A277" s="3" t="s">
        <v>80</v>
      </c>
      <c r="B277" s="3" t="s">
        <v>40</v>
      </c>
      <c r="C277" s="3" t="s">
        <v>15</v>
      </c>
      <c r="D277" s="4" t="s">
        <v>343</v>
      </c>
      <c r="E277" s="3" t="str">
        <f>dtbCommunities[[#This Row],[Island]]&amp;"-"&amp;dtbCommunities[[#This Row],[Area Council]]</f>
        <v>Santa-North West</v>
      </c>
    </row>
    <row r="278" spans="1:5" x14ac:dyDescent="0.3">
      <c r="A278" s="3" t="s">
        <v>80</v>
      </c>
      <c r="B278" s="3" t="s">
        <v>39</v>
      </c>
      <c r="C278" s="3" t="s">
        <v>21</v>
      </c>
      <c r="D278" s="4" t="s">
        <v>344</v>
      </c>
      <c r="E278" s="3" t="str">
        <f>dtbCommunities[[#This Row],[Island]]&amp;"-"&amp;dtbCommunities[[#This Row],[Area Council]]</f>
        <v>Milu-East</v>
      </c>
    </row>
    <row r="279" spans="1:5" x14ac:dyDescent="0.3">
      <c r="A279" s="3" t="s">
        <v>80</v>
      </c>
      <c r="B279" s="3" t="s">
        <v>40</v>
      </c>
      <c r="C279" s="3" t="s">
        <v>16</v>
      </c>
      <c r="D279" s="4" t="s">
        <v>345</v>
      </c>
      <c r="E279" s="3" t="str">
        <f>dtbCommunities[[#This Row],[Island]]&amp;"-"&amp;dtbCommunities[[#This Row],[Area Council]]</f>
        <v>Santa-South East</v>
      </c>
    </row>
    <row r="280" spans="1:5" x14ac:dyDescent="0.3">
      <c r="A280" s="3" t="s">
        <v>80</v>
      </c>
      <c r="B280" s="3" t="s">
        <v>40</v>
      </c>
      <c r="C280" s="3" t="s">
        <v>16</v>
      </c>
      <c r="D280" s="4" t="s">
        <v>346</v>
      </c>
      <c r="E280" s="3" t="str">
        <f>dtbCommunities[[#This Row],[Island]]&amp;"-"&amp;dtbCommunities[[#This Row],[Area Council]]</f>
        <v>Santa-South East</v>
      </c>
    </row>
    <row r="281" spans="1:5" x14ac:dyDescent="0.3">
      <c r="A281" s="3" t="s">
        <v>80</v>
      </c>
      <c r="B281" s="3" t="s">
        <v>40</v>
      </c>
      <c r="C281" s="3" t="s">
        <v>15</v>
      </c>
      <c r="D281" s="4" t="s">
        <v>347</v>
      </c>
      <c r="E281" s="3" t="str">
        <f>dtbCommunities[[#This Row],[Island]]&amp;"-"&amp;dtbCommunities[[#This Row],[Area Council]]</f>
        <v>Santa-North West</v>
      </c>
    </row>
    <row r="282" spans="1:5" x14ac:dyDescent="0.3">
      <c r="A282" s="3" t="s">
        <v>80</v>
      </c>
      <c r="B282" s="3" t="s">
        <v>40</v>
      </c>
      <c r="C282" s="3" t="s">
        <v>16</v>
      </c>
      <c r="D282" s="4" t="s">
        <v>348</v>
      </c>
      <c r="E282" s="3" t="str">
        <f>dtbCommunities[[#This Row],[Island]]&amp;"-"&amp;dtbCommunities[[#This Row],[Area Council]]</f>
        <v>Santa-South East</v>
      </c>
    </row>
    <row r="283" spans="1:5" x14ac:dyDescent="0.3">
      <c r="A283" s="3" t="s">
        <v>80</v>
      </c>
      <c r="B283" s="3" t="s">
        <v>40</v>
      </c>
      <c r="C283" s="3" t="s">
        <v>14</v>
      </c>
      <c r="D283" s="3" t="s">
        <v>349</v>
      </c>
      <c r="E283" s="3" t="str">
        <f>dtbCommunities[[#This Row],[Island]]&amp;"-"&amp;dtbCommunities[[#This Row],[Area Council]]</f>
        <v>Santa-South</v>
      </c>
    </row>
    <row r="284" spans="1:5" x14ac:dyDescent="0.3">
      <c r="A284" s="3" t="s">
        <v>80</v>
      </c>
      <c r="B284" s="3" t="s">
        <v>40</v>
      </c>
      <c r="C284" s="3" t="s">
        <v>14</v>
      </c>
      <c r="D284" s="4" t="s">
        <v>350</v>
      </c>
      <c r="E284" s="3" t="str">
        <f>dtbCommunities[[#This Row],[Island]]&amp;"-"&amp;dtbCommunities[[#This Row],[Area Council]]</f>
        <v>Santa-South</v>
      </c>
    </row>
    <row r="285" spans="1:5" x14ac:dyDescent="0.3">
      <c r="A285" s="3" t="s">
        <v>80</v>
      </c>
      <c r="B285" s="3" t="s">
        <v>40</v>
      </c>
      <c r="C285" s="3" t="s">
        <v>14</v>
      </c>
      <c r="D285" s="4" t="s">
        <v>351</v>
      </c>
      <c r="E285" s="3" t="str">
        <f>dtbCommunities[[#This Row],[Island]]&amp;"-"&amp;dtbCommunities[[#This Row],[Area Council]]</f>
        <v>Santa-South</v>
      </c>
    </row>
    <row r="286" spans="1:5" x14ac:dyDescent="0.3">
      <c r="A286" s="3" t="s">
        <v>80</v>
      </c>
      <c r="B286" s="3" t="s">
        <v>40</v>
      </c>
      <c r="C286" s="3" t="s">
        <v>18</v>
      </c>
      <c r="D286" s="4" t="s">
        <v>352</v>
      </c>
      <c r="E286" s="3" t="str">
        <f>dtbCommunities[[#This Row],[Island]]&amp;"-"&amp;dtbCommunities[[#This Row],[Area Council]]</f>
        <v>Santa-West</v>
      </c>
    </row>
    <row r="287" spans="1:5" x14ac:dyDescent="0.3">
      <c r="A287" s="3" t="s">
        <v>80</v>
      </c>
      <c r="B287" s="3" t="s">
        <v>40</v>
      </c>
      <c r="C287" s="3" t="s">
        <v>20</v>
      </c>
      <c r="D287" s="4" t="s">
        <v>353</v>
      </c>
      <c r="E287" s="3" t="str">
        <f>dtbCommunities[[#This Row],[Island]]&amp;"-"&amp;dtbCommunities[[#This Row],[Area Council]]</f>
        <v>Santa-North</v>
      </c>
    </row>
    <row r="288" spans="1:5" x14ac:dyDescent="0.3">
      <c r="A288" s="3" t="s">
        <v>80</v>
      </c>
      <c r="B288" s="3" t="s">
        <v>40</v>
      </c>
      <c r="C288" s="3" t="s">
        <v>16</v>
      </c>
      <c r="D288" s="4" t="s">
        <v>354</v>
      </c>
      <c r="E288" s="3" t="str">
        <f>dtbCommunities[[#This Row],[Island]]&amp;"-"&amp;dtbCommunities[[#This Row],[Area Council]]</f>
        <v>Santa-South East</v>
      </c>
    </row>
    <row r="289" spans="1:5" x14ac:dyDescent="0.3">
      <c r="A289" s="3" t="s">
        <v>80</v>
      </c>
      <c r="B289" s="3" t="s">
        <v>40</v>
      </c>
      <c r="C289" s="3" t="s">
        <v>21</v>
      </c>
      <c r="D289" s="4" t="s">
        <v>355</v>
      </c>
      <c r="E289" s="3" t="str">
        <f>dtbCommunities[[#This Row],[Island]]&amp;"-"&amp;dtbCommunities[[#This Row],[Area Council]]</f>
        <v>Santa-East</v>
      </c>
    </row>
    <row r="290" spans="1:5" x14ac:dyDescent="0.3">
      <c r="A290" s="3" t="s">
        <v>80</v>
      </c>
      <c r="B290" s="3" t="s">
        <v>40</v>
      </c>
      <c r="C290" s="3" t="s">
        <v>16</v>
      </c>
      <c r="D290" s="3" t="s">
        <v>356</v>
      </c>
      <c r="E290" s="3" t="str">
        <f>dtbCommunities[[#This Row],[Island]]&amp;"-"&amp;dtbCommunities[[#This Row],[Area Council]]</f>
        <v>Santa-South East</v>
      </c>
    </row>
    <row r="291" spans="1:5" x14ac:dyDescent="0.3">
      <c r="A291" s="3" t="s">
        <v>80</v>
      </c>
      <c r="B291" s="3" t="s">
        <v>40</v>
      </c>
      <c r="C291" s="3" t="s">
        <v>20</v>
      </c>
      <c r="D291" s="3" t="s">
        <v>357</v>
      </c>
      <c r="E291" s="3" t="str">
        <f>dtbCommunities[[#This Row],[Island]]&amp;"-"&amp;dtbCommunities[[#This Row],[Area Council]]</f>
        <v>Santa-North</v>
      </c>
    </row>
    <row r="292" spans="1:5" x14ac:dyDescent="0.3">
      <c r="A292" s="3" t="s">
        <v>80</v>
      </c>
      <c r="B292" s="3" t="s">
        <v>40</v>
      </c>
      <c r="C292" s="3" t="s">
        <v>16</v>
      </c>
      <c r="D292" s="5" t="s">
        <v>358</v>
      </c>
      <c r="E292" s="3" t="str">
        <f>dtbCommunities[[#This Row],[Island]]&amp;"-"&amp;dtbCommunities[[#This Row],[Area Council]]</f>
        <v>Santa-South East</v>
      </c>
    </row>
    <row r="293" spans="1:5" x14ac:dyDescent="0.3">
      <c r="A293" s="3" t="s">
        <v>80</v>
      </c>
      <c r="B293" s="3" t="s">
        <v>40</v>
      </c>
      <c r="C293" s="3" t="s">
        <v>20</v>
      </c>
      <c r="D293" s="3" t="s">
        <v>359</v>
      </c>
      <c r="E293" s="3" t="str">
        <f>dtbCommunities[[#This Row],[Island]]&amp;"-"&amp;dtbCommunities[[#This Row],[Area Council]]</f>
        <v>Santa-North</v>
      </c>
    </row>
    <row r="294" spans="1:5" x14ac:dyDescent="0.3">
      <c r="A294" s="3" t="s">
        <v>80</v>
      </c>
      <c r="B294" s="3" t="s">
        <v>40</v>
      </c>
      <c r="C294" s="3" t="s">
        <v>20</v>
      </c>
      <c r="D294" s="4" t="s">
        <v>360</v>
      </c>
      <c r="E294" s="3" t="str">
        <f>dtbCommunities[[#This Row],[Island]]&amp;"-"&amp;dtbCommunities[[#This Row],[Area Council]]</f>
        <v>Santa-North</v>
      </c>
    </row>
    <row r="295" spans="1:5" x14ac:dyDescent="0.3">
      <c r="A295" s="3" t="s">
        <v>80</v>
      </c>
      <c r="B295" s="3" t="s">
        <v>40</v>
      </c>
      <c r="C295" s="3" t="s">
        <v>15</v>
      </c>
      <c r="D295" s="4" t="s">
        <v>604</v>
      </c>
      <c r="E295" s="3" t="str">
        <f>dtbCommunities[[#This Row],[Island]]&amp;"-"&amp;dtbCommunities[[#This Row],[Area Council]]</f>
        <v>Santa-North West</v>
      </c>
    </row>
    <row r="296" spans="1:5" x14ac:dyDescent="0.3">
      <c r="A296" s="3" t="s">
        <v>80</v>
      </c>
      <c r="B296" s="3" t="s">
        <v>40</v>
      </c>
      <c r="C296" s="3" t="s">
        <v>20</v>
      </c>
      <c r="D296" s="3" t="s">
        <v>361</v>
      </c>
      <c r="E296" s="3" t="str">
        <f>dtbCommunities[[#This Row],[Island]]&amp;"-"&amp;dtbCommunities[[#This Row],[Area Council]]</f>
        <v>Santa-North</v>
      </c>
    </row>
    <row r="297" spans="1:5" x14ac:dyDescent="0.3">
      <c r="A297" s="3" t="s">
        <v>80</v>
      </c>
      <c r="B297" s="3" t="s">
        <v>40</v>
      </c>
      <c r="C297" s="3" t="s">
        <v>21</v>
      </c>
      <c r="D297" s="5" t="s">
        <v>362</v>
      </c>
      <c r="E297" s="3" t="str">
        <f>dtbCommunities[[#This Row],[Island]]&amp;"-"&amp;dtbCommunities[[#This Row],[Area Council]]</f>
        <v>Santa-East</v>
      </c>
    </row>
    <row r="298" spans="1:5" x14ac:dyDescent="0.3">
      <c r="A298" s="3" t="s">
        <v>80</v>
      </c>
      <c r="B298" s="3" t="s">
        <v>40</v>
      </c>
      <c r="C298" s="3" t="s">
        <v>18</v>
      </c>
      <c r="D298" s="5" t="s">
        <v>363</v>
      </c>
      <c r="E298" s="3" t="str">
        <f>dtbCommunities[[#This Row],[Island]]&amp;"-"&amp;dtbCommunities[[#This Row],[Area Council]]</f>
        <v>Santa-West</v>
      </c>
    </row>
    <row r="299" spans="1:5" x14ac:dyDescent="0.3">
      <c r="A299" s="3" t="s">
        <v>80</v>
      </c>
      <c r="B299" s="3" t="s">
        <v>39</v>
      </c>
      <c r="C299" s="3" t="s">
        <v>21</v>
      </c>
      <c r="D299" s="4" t="s">
        <v>364</v>
      </c>
      <c r="E299" s="3" t="str">
        <f>dtbCommunities[[#This Row],[Island]]&amp;"-"&amp;dtbCommunities[[#This Row],[Area Council]]</f>
        <v>Milu-East</v>
      </c>
    </row>
    <row r="300" spans="1:5" x14ac:dyDescent="0.3">
      <c r="A300" s="3" t="s">
        <v>80</v>
      </c>
      <c r="B300" s="3" t="s">
        <v>40</v>
      </c>
      <c r="C300" s="3" t="s">
        <v>18</v>
      </c>
      <c r="D300" s="4" t="s">
        <v>365</v>
      </c>
      <c r="E300" s="3" t="str">
        <f>dtbCommunities[[#This Row],[Island]]&amp;"-"&amp;dtbCommunities[[#This Row],[Area Council]]</f>
        <v>Santa-West</v>
      </c>
    </row>
    <row r="301" spans="1:5" x14ac:dyDescent="0.3">
      <c r="A301" s="3" t="s">
        <v>80</v>
      </c>
      <c r="B301" s="3" t="s">
        <v>40</v>
      </c>
      <c r="C301" s="3" t="s">
        <v>15</v>
      </c>
      <c r="D301" s="3" t="s">
        <v>366</v>
      </c>
      <c r="E301" s="3" t="str">
        <f>dtbCommunities[[#This Row],[Island]]&amp;"-"&amp;dtbCommunities[[#This Row],[Area Council]]</f>
        <v>Santa-North West</v>
      </c>
    </row>
    <row r="302" spans="1:5" x14ac:dyDescent="0.3">
      <c r="A302" s="3" t="s">
        <v>80</v>
      </c>
      <c r="B302" s="3" t="s">
        <v>40</v>
      </c>
      <c r="C302" s="3" t="s">
        <v>15</v>
      </c>
      <c r="D302" s="4" t="s">
        <v>367</v>
      </c>
      <c r="E302" s="3" t="str">
        <f>dtbCommunities[[#This Row],[Island]]&amp;"-"&amp;dtbCommunities[[#This Row],[Area Council]]</f>
        <v>Santa-North West</v>
      </c>
    </row>
    <row r="303" spans="1:5" x14ac:dyDescent="0.3">
      <c r="A303" s="3" t="s">
        <v>80</v>
      </c>
      <c r="B303" s="3" t="s">
        <v>40</v>
      </c>
      <c r="C303" s="3" t="s">
        <v>18</v>
      </c>
      <c r="D303" s="4" t="s">
        <v>368</v>
      </c>
      <c r="E303" s="3" t="str">
        <f>dtbCommunities[[#This Row],[Island]]&amp;"-"&amp;dtbCommunities[[#This Row],[Area Council]]</f>
        <v>Santa-West</v>
      </c>
    </row>
    <row r="304" spans="1:5" x14ac:dyDescent="0.3">
      <c r="A304" s="3" t="s">
        <v>80</v>
      </c>
      <c r="B304" s="3" t="s">
        <v>40</v>
      </c>
      <c r="C304" s="3" t="s">
        <v>21</v>
      </c>
      <c r="D304" s="4" t="s">
        <v>369</v>
      </c>
      <c r="E304" s="3" t="str">
        <f>dtbCommunities[[#This Row],[Island]]&amp;"-"&amp;dtbCommunities[[#This Row],[Area Council]]</f>
        <v>Santa-East</v>
      </c>
    </row>
    <row r="305" spans="1:5" x14ac:dyDescent="0.3">
      <c r="A305" s="3" t="s">
        <v>81</v>
      </c>
      <c r="B305" s="3" t="s">
        <v>86</v>
      </c>
      <c r="C305" s="3" t="s">
        <v>58</v>
      </c>
      <c r="D305" s="3" t="s">
        <v>605</v>
      </c>
      <c r="E305" s="3" t="str">
        <f>dtbCommunities[[#This Row],[Island]]&amp;"-"&amp;dtbCommunities[[#This Row],[Area Council]]</f>
        <v>Eros-Vermele</v>
      </c>
    </row>
    <row r="306" spans="1:5" x14ac:dyDescent="0.3">
      <c r="A306" s="3" t="s">
        <v>81</v>
      </c>
      <c r="B306" s="3" t="s">
        <v>86</v>
      </c>
      <c r="C306" s="3" t="s">
        <v>58</v>
      </c>
      <c r="D306" s="2" t="s">
        <v>370</v>
      </c>
      <c r="E306" s="3" t="str">
        <f>dtbCommunities[[#This Row],[Island]]&amp;"-"&amp;dtbCommunities[[#This Row],[Area Council]]</f>
        <v>Eros-Vermele</v>
      </c>
    </row>
    <row r="307" spans="1:5" x14ac:dyDescent="0.3">
      <c r="A307" s="3" t="s">
        <v>81</v>
      </c>
      <c r="B307" s="3" t="s">
        <v>41</v>
      </c>
      <c r="C307" s="3" t="s">
        <v>21</v>
      </c>
      <c r="D307" s="3" t="s">
        <v>371</v>
      </c>
      <c r="E307" s="3" t="str">
        <f>dtbCommunities[[#This Row],[Island]]&amp;"-"&amp;dtbCommunities[[#This Row],[Area Council]]</f>
        <v>Efite-East</v>
      </c>
    </row>
    <row r="308" spans="1:5" x14ac:dyDescent="0.3">
      <c r="A308" s="3" t="s">
        <v>81</v>
      </c>
      <c r="B308" s="3" t="s">
        <v>41</v>
      </c>
      <c r="C308" s="3" t="s">
        <v>59</v>
      </c>
      <c r="D308" s="2" t="s">
        <v>205</v>
      </c>
      <c r="E308" s="3" t="str">
        <f>dtbCommunities[[#This Row],[Island]]&amp;"-"&amp;dtbCommunities[[#This Row],[Area Council]]</f>
        <v>Efite-Mali</v>
      </c>
    </row>
    <row r="309" spans="1:5" x14ac:dyDescent="0.3">
      <c r="A309" s="3" t="s">
        <v>81</v>
      </c>
      <c r="B309" s="3" t="s">
        <v>86</v>
      </c>
      <c r="C309" s="3" t="s">
        <v>58</v>
      </c>
      <c r="D309" s="2" t="s">
        <v>372</v>
      </c>
      <c r="E309" s="3" t="str">
        <f>dtbCommunities[[#This Row],[Island]]&amp;"-"&amp;dtbCommunities[[#This Row],[Area Council]]</f>
        <v>Eros-Vermele</v>
      </c>
    </row>
    <row r="310" spans="1:5" x14ac:dyDescent="0.3">
      <c r="A310" s="3" t="s">
        <v>81</v>
      </c>
      <c r="B310" s="3" t="s">
        <v>41</v>
      </c>
      <c r="C310" s="3" t="s">
        <v>15</v>
      </c>
      <c r="D310" s="3" t="s">
        <v>373</v>
      </c>
      <c r="E310" s="3" t="str">
        <f>dtbCommunities[[#This Row],[Island]]&amp;"-"&amp;dtbCommunities[[#This Row],[Area Council]]</f>
        <v>Efite-North West</v>
      </c>
    </row>
    <row r="311" spans="1:5" x14ac:dyDescent="0.3">
      <c r="A311" s="3" t="s">
        <v>81</v>
      </c>
      <c r="B311" s="3" t="s">
        <v>42</v>
      </c>
      <c r="C311" s="3" t="s">
        <v>60</v>
      </c>
      <c r="D311" s="3" t="s">
        <v>374</v>
      </c>
      <c r="E311" s="3" t="str">
        <f>dtbCommunities[[#This Row],[Island]]&amp;"-"&amp;dtbCommunities[[#This Row],[Area Council]]</f>
        <v>Tangoruki-Tengireku</v>
      </c>
    </row>
    <row r="312" spans="1:5" x14ac:dyDescent="0.3">
      <c r="A312" s="3" t="s">
        <v>81</v>
      </c>
      <c r="B312" s="3" t="s">
        <v>41</v>
      </c>
      <c r="C312" s="3" t="s">
        <v>61</v>
      </c>
      <c r="D312" s="2" t="s">
        <v>375</v>
      </c>
      <c r="E312" s="3" t="str">
        <f>dtbCommunities[[#This Row],[Island]]&amp;"-"&amp;dtbCommunities[[#This Row],[Area Council]]</f>
        <v>Efite-Eritap</v>
      </c>
    </row>
    <row r="313" spans="1:5" x14ac:dyDescent="0.3">
      <c r="A313" s="3" t="s">
        <v>81</v>
      </c>
      <c r="B313" s="3" t="s">
        <v>41</v>
      </c>
      <c r="C313" s="3" t="s">
        <v>20</v>
      </c>
      <c r="D313" s="2" t="s">
        <v>376</v>
      </c>
      <c r="E313" s="3" t="str">
        <f>dtbCommunities[[#This Row],[Island]]&amp;"-"&amp;dtbCommunities[[#This Row],[Area Council]]</f>
        <v>Efite-North</v>
      </c>
    </row>
    <row r="314" spans="1:5" x14ac:dyDescent="0.3">
      <c r="A314" s="3" t="s">
        <v>81</v>
      </c>
      <c r="B314" s="3" t="s">
        <v>41</v>
      </c>
      <c r="C314" s="3" t="s">
        <v>20</v>
      </c>
      <c r="D314" s="2" t="s">
        <v>377</v>
      </c>
      <c r="E314" s="3" t="str">
        <f>dtbCommunities[[#This Row],[Island]]&amp;"-"&amp;dtbCommunities[[#This Row],[Area Council]]</f>
        <v>Efite-North</v>
      </c>
    </row>
    <row r="315" spans="1:5" x14ac:dyDescent="0.3">
      <c r="A315" s="3" t="s">
        <v>81</v>
      </c>
      <c r="B315" s="3" t="s">
        <v>41</v>
      </c>
      <c r="C315" s="3" t="s">
        <v>21</v>
      </c>
      <c r="D315" s="3" t="s">
        <v>378</v>
      </c>
      <c r="E315" s="3" t="str">
        <f>dtbCommunities[[#This Row],[Island]]&amp;"-"&amp;dtbCommunities[[#This Row],[Area Council]]</f>
        <v>Efite-East</v>
      </c>
    </row>
    <row r="316" spans="1:5" x14ac:dyDescent="0.3">
      <c r="A316" s="3" t="s">
        <v>81</v>
      </c>
      <c r="B316" s="3" t="s">
        <v>41</v>
      </c>
      <c r="C316" s="3" t="s">
        <v>20</v>
      </c>
      <c r="D316" s="3" t="s">
        <v>379</v>
      </c>
      <c r="E316" s="3" t="str">
        <f>dtbCommunities[[#This Row],[Island]]&amp;"-"&amp;dtbCommunities[[#This Row],[Area Council]]</f>
        <v>Efite-North</v>
      </c>
    </row>
    <row r="317" spans="1:5" x14ac:dyDescent="0.3">
      <c r="A317" s="3" t="s">
        <v>81</v>
      </c>
      <c r="B317" s="3" t="s">
        <v>41</v>
      </c>
      <c r="C317" s="3" t="s">
        <v>62</v>
      </c>
      <c r="D317" s="2" t="s">
        <v>380</v>
      </c>
      <c r="E317" s="3" t="str">
        <f>dtbCommunities[[#This Row],[Island]]&amp;"-"&amp;dtbCommunities[[#This Row],[Area Council]]</f>
        <v>Efite-Erokor</v>
      </c>
    </row>
    <row r="318" spans="1:5" x14ac:dyDescent="0.3">
      <c r="A318" s="3" t="s">
        <v>81</v>
      </c>
      <c r="B318" s="3" t="s">
        <v>42</v>
      </c>
      <c r="C318" s="3" t="s">
        <v>60</v>
      </c>
      <c r="D318" s="2" t="s">
        <v>381</v>
      </c>
      <c r="E318" s="3" t="str">
        <f>dtbCommunities[[#This Row],[Island]]&amp;"-"&amp;dtbCommunities[[#This Row],[Area Council]]</f>
        <v>Tangoruki-Tengireku</v>
      </c>
    </row>
    <row r="319" spans="1:5" x14ac:dyDescent="0.3">
      <c r="A319" s="3" t="s">
        <v>81</v>
      </c>
      <c r="B319" s="3" t="s">
        <v>41</v>
      </c>
      <c r="C319" s="3" t="s">
        <v>61</v>
      </c>
      <c r="D319" s="3" t="s">
        <v>382</v>
      </c>
      <c r="E319" s="3" t="str">
        <f>dtbCommunities[[#This Row],[Island]]&amp;"-"&amp;dtbCommunities[[#This Row],[Area Council]]</f>
        <v>Efite-Eritap</v>
      </c>
    </row>
    <row r="320" spans="1:5" x14ac:dyDescent="0.3">
      <c r="A320" s="3" t="s">
        <v>81</v>
      </c>
      <c r="B320" s="3" t="s">
        <v>41</v>
      </c>
      <c r="C320" s="3" t="s">
        <v>21</v>
      </c>
      <c r="D320" s="2" t="s">
        <v>383</v>
      </c>
      <c r="E320" s="3" t="str">
        <f>dtbCommunities[[#This Row],[Island]]&amp;"-"&amp;dtbCommunities[[#This Row],[Area Council]]</f>
        <v>Efite-East</v>
      </c>
    </row>
    <row r="321" spans="1:5" x14ac:dyDescent="0.3">
      <c r="A321" s="3" t="s">
        <v>81</v>
      </c>
      <c r="B321" s="3" t="s">
        <v>86</v>
      </c>
      <c r="C321" s="3" t="s">
        <v>63</v>
      </c>
      <c r="D321" s="3" t="s">
        <v>384</v>
      </c>
      <c r="E321" s="3" t="str">
        <f>dtbCommunities[[#This Row],[Island]]&amp;"-"&amp;dtbCommunities[[#This Row],[Area Council]]</f>
        <v>Eros-Yorso</v>
      </c>
    </row>
    <row r="322" spans="1:5" x14ac:dyDescent="0.3">
      <c r="A322" s="3" t="s">
        <v>81</v>
      </c>
      <c r="B322" s="3" t="s">
        <v>43</v>
      </c>
      <c r="C322" s="3" t="s">
        <v>64</v>
      </c>
      <c r="D322" s="3" t="s">
        <v>385</v>
      </c>
      <c r="E322" s="3" t="str">
        <f>dtbCommunities[[#This Row],[Island]]&amp;"-"&amp;dtbCommunities[[#This Row],[Area Council]]</f>
        <v>Emao-Makumeu</v>
      </c>
    </row>
    <row r="323" spans="1:5" x14ac:dyDescent="0.3">
      <c r="A323" s="3" t="s">
        <v>81</v>
      </c>
      <c r="B323" s="3" t="s">
        <v>86</v>
      </c>
      <c r="C323" s="3" t="s">
        <v>65</v>
      </c>
      <c r="D323" s="1" t="s">
        <v>386</v>
      </c>
      <c r="E323" s="3" t="str">
        <f>dtbCommunities[[#This Row],[Island]]&amp;"-"&amp;dtbCommunities[[#This Row],[Area Council]]</f>
        <v>Eros-Varmaol</v>
      </c>
    </row>
    <row r="324" spans="1:5" x14ac:dyDescent="0.3">
      <c r="A324" s="3" t="s">
        <v>81</v>
      </c>
      <c r="B324" s="3" t="s">
        <v>41</v>
      </c>
      <c r="C324" s="3" t="s">
        <v>21</v>
      </c>
      <c r="D324" s="2" t="s">
        <v>387</v>
      </c>
      <c r="E324" s="3" t="str">
        <f>dtbCommunities[[#This Row],[Island]]&amp;"-"&amp;dtbCommunities[[#This Row],[Area Council]]</f>
        <v>Efite-East</v>
      </c>
    </row>
    <row r="325" spans="1:5" x14ac:dyDescent="0.3">
      <c r="A325" s="3" t="s">
        <v>81</v>
      </c>
      <c r="B325" s="3" t="s">
        <v>41</v>
      </c>
      <c r="C325" s="3" t="s">
        <v>66</v>
      </c>
      <c r="D325" s="3" t="s">
        <v>388</v>
      </c>
      <c r="E325" s="3" t="str">
        <f>dtbCommunities[[#This Row],[Island]]&amp;"-"&amp;dtbCommunities[[#This Row],[Area Council]]</f>
        <v>Efite-Iferi</v>
      </c>
    </row>
    <row r="326" spans="1:5" x14ac:dyDescent="0.3">
      <c r="A326" s="3" t="s">
        <v>81</v>
      </c>
      <c r="B326" s="3" t="s">
        <v>41</v>
      </c>
      <c r="C326" s="3" t="s">
        <v>66</v>
      </c>
      <c r="D326" s="3" t="s">
        <v>389</v>
      </c>
      <c r="E326" s="3" t="str">
        <f>dtbCommunities[[#This Row],[Island]]&amp;"-"&amp;dtbCommunities[[#This Row],[Area Council]]</f>
        <v>Efite-Iferi</v>
      </c>
    </row>
    <row r="327" spans="1:5" x14ac:dyDescent="0.3">
      <c r="A327" s="3" t="s">
        <v>81</v>
      </c>
      <c r="B327" s="3" t="s">
        <v>86</v>
      </c>
      <c r="C327" s="3" t="s">
        <v>65</v>
      </c>
      <c r="D327" s="2" t="s">
        <v>390</v>
      </c>
      <c r="E327" s="3" t="str">
        <f>dtbCommunities[[#This Row],[Island]]&amp;"-"&amp;dtbCommunities[[#This Row],[Area Council]]</f>
        <v>Eros-Varmaol</v>
      </c>
    </row>
    <row r="328" spans="1:5" x14ac:dyDescent="0.3">
      <c r="A328" s="3" t="s">
        <v>81</v>
      </c>
      <c r="B328" s="3" t="s">
        <v>86</v>
      </c>
      <c r="C328" s="3" t="s">
        <v>58</v>
      </c>
      <c r="D328" s="3" t="s">
        <v>391</v>
      </c>
      <c r="E328" s="3" t="str">
        <f>dtbCommunities[[#This Row],[Island]]&amp;"-"&amp;dtbCommunities[[#This Row],[Area Council]]</f>
        <v>Eros-Vermele</v>
      </c>
    </row>
    <row r="329" spans="1:5" x14ac:dyDescent="0.3">
      <c r="A329" s="3" t="s">
        <v>81</v>
      </c>
      <c r="B329" s="3" t="s">
        <v>44</v>
      </c>
      <c r="C329" s="3" t="s">
        <v>67</v>
      </c>
      <c r="D329" s="2" t="s">
        <v>392</v>
      </c>
      <c r="E329" s="3" t="str">
        <f>dtbCommunities[[#This Row],[Island]]&amp;"-"&amp;dtbCommunities[[#This Row],[Area Council]]</f>
        <v>Pili-Ngana &amp; Pala</v>
      </c>
    </row>
    <row r="330" spans="1:5" x14ac:dyDescent="0.3">
      <c r="A330" s="3" t="s">
        <v>81</v>
      </c>
      <c r="B330" s="3" t="s">
        <v>32</v>
      </c>
      <c r="C330" s="3" t="s">
        <v>33</v>
      </c>
      <c r="D330" s="2" t="s">
        <v>393</v>
      </c>
      <c r="E330" s="3" t="str">
        <f>dtbCommunities[[#This Row],[Island]]&amp;"-"&amp;dtbCommunities[[#This Row],[Area Council]]</f>
        <v>Emie-Emoi</v>
      </c>
    </row>
    <row r="331" spans="1:5" x14ac:dyDescent="0.3">
      <c r="A331" s="3" t="s">
        <v>81</v>
      </c>
      <c r="B331" s="3" t="s">
        <v>86</v>
      </c>
      <c r="C331" s="3" t="s">
        <v>58</v>
      </c>
      <c r="D331" s="3" t="s">
        <v>394</v>
      </c>
      <c r="E331" s="3" t="str">
        <f>dtbCommunities[[#This Row],[Island]]&amp;"-"&amp;dtbCommunities[[#This Row],[Area Council]]</f>
        <v>Eros-Vermele</v>
      </c>
    </row>
    <row r="332" spans="1:5" x14ac:dyDescent="0.3">
      <c r="A332" s="3" t="s">
        <v>81</v>
      </c>
      <c r="B332" s="3" t="s">
        <v>42</v>
      </c>
      <c r="C332" s="3" t="s">
        <v>60</v>
      </c>
      <c r="D332" s="3" t="s">
        <v>395</v>
      </c>
      <c r="E332" s="3" t="str">
        <f>dtbCommunities[[#This Row],[Island]]&amp;"-"&amp;dtbCommunities[[#This Row],[Area Council]]</f>
        <v>Tangoruki-Tengireku</v>
      </c>
    </row>
    <row r="333" spans="1:5" x14ac:dyDescent="0.3">
      <c r="A333" s="3" t="s">
        <v>81</v>
      </c>
      <c r="B333" s="3" t="s">
        <v>86</v>
      </c>
      <c r="C333" s="3" t="s">
        <v>68</v>
      </c>
      <c r="D333" s="3" t="s">
        <v>396</v>
      </c>
      <c r="E333" s="3" t="str">
        <f>dtbCommunities[[#This Row],[Island]]&amp;"-"&amp;dtbCommunities[[#This Row],[Area Council]]</f>
        <v>Eros-Virse</v>
      </c>
    </row>
    <row r="334" spans="1:5" x14ac:dyDescent="0.3">
      <c r="A334" s="3" t="s">
        <v>81</v>
      </c>
      <c r="B334" s="3" t="s">
        <v>86</v>
      </c>
      <c r="C334" s="3" t="s">
        <v>63</v>
      </c>
      <c r="D334" s="2" t="s">
        <v>397</v>
      </c>
      <c r="E334" s="3" t="str">
        <f>dtbCommunities[[#This Row],[Island]]&amp;"-"&amp;dtbCommunities[[#This Row],[Area Council]]</f>
        <v>Eros-Yorso</v>
      </c>
    </row>
    <row r="335" spans="1:5" x14ac:dyDescent="0.3">
      <c r="A335" s="3" t="s">
        <v>81</v>
      </c>
      <c r="B335" s="3" t="s">
        <v>45</v>
      </c>
      <c r="C335" s="3" t="s">
        <v>69</v>
      </c>
      <c r="D335" s="3" t="s">
        <v>398</v>
      </c>
      <c r="E335" s="3" t="str">
        <f>dtbCommunities[[#This Row],[Island]]&amp;"-"&amp;dtbCommunities[[#This Row],[Area Council]]</f>
        <v>Tengai-Tingoo</v>
      </c>
    </row>
    <row r="336" spans="1:5" x14ac:dyDescent="0.3">
      <c r="A336" s="3" t="s">
        <v>81</v>
      </c>
      <c r="B336" s="3" t="s">
        <v>43</v>
      </c>
      <c r="C336" s="3" t="s">
        <v>64</v>
      </c>
      <c r="D336" s="3" t="s">
        <v>399</v>
      </c>
      <c r="E336" s="3" t="str">
        <f>dtbCommunities[[#This Row],[Island]]&amp;"-"&amp;dtbCommunities[[#This Row],[Area Council]]</f>
        <v>Emao-Makumeu</v>
      </c>
    </row>
    <row r="337" spans="1:5" x14ac:dyDescent="0.3">
      <c r="A337" s="3" t="s">
        <v>81</v>
      </c>
      <c r="B337" s="3" t="s">
        <v>46</v>
      </c>
      <c r="C337" s="3" t="s">
        <v>64</v>
      </c>
      <c r="D337" s="3" t="s">
        <v>400</v>
      </c>
      <c r="E337" s="3" t="str">
        <f>dtbCommunities[[#This Row],[Island]]&amp;"-"&amp;dtbCommunities[[#This Row],[Area Council]]</f>
        <v>Makura-Makumeu</v>
      </c>
    </row>
    <row r="338" spans="1:5" x14ac:dyDescent="0.3">
      <c r="A338" s="3" t="s">
        <v>81</v>
      </c>
      <c r="B338" s="3" t="s">
        <v>86</v>
      </c>
      <c r="C338" s="3" t="s">
        <v>58</v>
      </c>
      <c r="D338" s="3" t="s">
        <v>401</v>
      </c>
      <c r="E338" s="3" t="str">
        <f>dtbCommunities[[#This Row],[Island]]&amp;"-"&amp;dtbCommunities[[#This Row],[Area Council]]</f>
        <v>Eros-Vermele</v>
      </c>
    </row>
    <row r="339" spans="1:5" x14ac:dyDescent="0.3">
      <c r="A339" s="3" t="s">
        <v>81</v>
      </c>
      <c r="B339" s="3" t="s">
        <v>41</v>
      </c>
      <c r="C339" s="3" t="s">
        <v>15</v>
      </c>
      <c r="D339" s="2" t="s">
        <v>402</v>
      </c>
      <c r="E339" s="3" t="str">
        <f>dtbCommunities[[#This Row],[Island]]&amp;"-"&amp;dtbCommunities[[#This Row],[Area Council]]</f>
        <v>Efite-North West</v>
      </c>
    </row>
    <row r="340" spans="1:5" x14ac:dyDescent="0.3">
      <c r="A340" s="3" t="s">
        <v>81</v>
      </c>
      <c r="B340" s="3" t="s">
        <v>45</v>
      </c>
      <c r="C340" s="3" t="s">
        <v>69</v>
      </c>
      <c r="D340" s="3" t="s">
        <v>403</v>
      </c>
      <c r="E340" s="3" t="str">
        <f>dtbCommunities[[#This Row],[Island]]&amp;"-"&amp;dtbCommunities[[#This Row],[Area Council]]</f>
        <v>Tengai-Tingoo</v>
      </c>
    </row>
    <row r="341" spans="1:5" x14ac:dyDescent="0.3">
      <c r="A341" s="3" t="s">
        <v>81</v>
      </c>
      <c r="B341" s="3" t="s">
        <v>43</v>
      </c>
      <c r="C341" s="3" t="s">
        <v>64</v>
      </c>
      <c r="D341" s="3" t="s">
        <v>404</v>
      </c>
      <c r="E341" s="3" t="str">
        <f>dtbCommunities[[#This Row],[Island]]&amp;"-"&amp;dtbCommunities[[#This Row],[Area Council]]</f>
        <v>Emao-Makumeu</v>
      </c>
    </row>
    <row r="342" spans="1:5" x14ac:dyDescent="0.3">
      <c r="A342" s="3" t="s">
        <v>81</v>
      </c>
      <c r="B342" s="3" t="s">
        <v>32</v>
      </c>
      <c r="C342" s="3" t="s">
        <v>33</v>
      </c>
      <c r="D342" s="3" t="s">
        <v>405</v>
      </c>
      <c r="E342" s="3" t="str">
        <f>dtbCommunities[[#This Row],[Island]]&amp;"-"&amp;dtbCommunities[[#This Row],[Area Council]]</f>
        <v>Emie-Emoi</v>
      </c>
    </row>
    <row r="343" spans="1:5" x14ac:dyDescent="0.3">
      <c r="A343" s="3" t="s">
        <v>81</v>
      </c>
      <c r="B343" s="3" t="s">
        <v>86</v>
      </c>
      <c r="C343" s="3" t="s">
        <v>65</v>
      </c>
      <c r="D343" s="2" t="s">
        <v>406</v>
      </c>
      <c r="E343" s="3" t="str">
        <f>dtbCommunities[[#This Row],[Island]]&amp;"-"&amp;dtbCommunities[[#This Row],[Area Council]]</f>
        <v>Eros-Varmaol</v>
      </c>
    </row>
    <row r="344" spans="1:5" x14ac:dyDescent="0.3">
      <c r="A344" s="3" t="s">
        <v>81</v>
      </c>
      <c r="B344" s="3" t="s">
        <v>41</v>
      </c>
      <c r="C344" s="3" t="s">
        <v>59</v>
      </c>
      <c r="D344" s="3" t="s">
        <v>407</v>
      </c>
      <c r="E344" s="3" t="str">
        <f>dtbCommunities[[#This Row],[Island]]&amp;"-"&amp;dtbCommunities[[#This Row],[Area Council]]</f>
        <v>Efite-Mali</v>
      </c>
    </row>
    <row r="345" spans="1:5" x14ac:dyDescent="0.3">
      <c r="A345" s="3" t="s">
        <v>81</v>
      </c>
      <c r="B345" s="3" t="s">
        <v>41</v>
      </c>
      <c r="C345" s="3" t="s">
        <v>59</v>
      </c>
      <c r="D345" s="3" t="s">
        <v>408</v>
      </c>
      <c r="E345" s="3" t="str">
        <f>dtbCommunities[[#This Row],[Island]]&amp;"-"&amp;dtbCommunities[[#This Row],[Area Council]]</f>
        <v>Efite-Mali</v>
      </c>
    </row>
    <row r="346" spans="1:5" x14ac:dyDescent="0.3">
      <c r="A346" s="3" t="s">
        <v>81</v>
      </c>
      <c r="B346" s="3" t="s">
        <v>41</v>
      </c>
      <c r="C346" s="3" t="s">
        <v>59</v>
      </c>
      <c r="D346" s="3" t="s">
        <v>409</v>
      </c>
      <c r="E346" s="3" t="str">
        <f>dtbCommunities[[#This Row],[Island]]&amp;"-"&amp;dtbCommunities[[#This Row],[Area Council]]</f>
        <v>Efite-Mali</v>
      </c>
    </row>
    <row r="347" spans="1:5" x14ac:dyDescent="0.3">
      <c r="A347" s="3" t="s">
        <v>81</v>
      </c>
      <c r="B347" s="3" t="s">
        <v>45</v>
      </c>
      <c r="C347" s="3" t="s">
        <v>69</v>
      </c>
      <c r="D347" s="3" t="s">
        <v>410</v>
      </c>
      <c r="E347" s="3" t="str">
        <f>dtbCommunities[[#This Row],[Island]]&amp;"-"&amp;dtbCommunities[[#This Row],[Area Council]]</f>
        <v>Tengai-Tingoo</v>
      </c>
    </row>
    <row r="348" spans="1:5" x14ac:dyDescent="0.3">
      <c r="A348" s="3" t="s">
        <v>81</v>
      </c>
      <c r="B348" s="3" t="s">
        <v>41</v>
      </c>
      <c r="C348" s="3" t="s">
        <v>15</v>
      </c>
      <c r="D348" s="3" t="s">
        <v>411</v>
      </c>
      <c r="E348" s="3" t="str">
        <f>dtbCommunities[[#This Row],[Island]]&amp;"-"&amp;dtbCommunities[[#This Row],[Area Council]]</f>
        <v>Efite-North West</v>
      </c>
    </row>
    <row r="349" spans="1:5" x14ac:dyDescent="0.3">
      <c r="A349" s="3" t="s">
        <v>81</v>
      </c>
      <c r="B349" s="3" t="s">
        <v>86</v>
      </c>
      <c r="C349" s="3" t="s">
        <v>63</v>
      </c>
      <c r="D349" s="3" t="s">
        <v>412</v>
      </c>
      <c r="E349" s="3" t="str">
        <f>dtbCommunities[[#This Row],[Island]]&amp;"-"&amp;dtbCommunities[[#This Row],[Area Council]]</f>
        <v>Eros-Yorso</v>
      </c>
    </row>
    <row r="350" spans="1:5" x14ac:dyDescent="0.3">
      <c r="A350" s="3" t="s">
        <v>81</v>
      </c>
      <c r="B350" s="3" t="s">
        <v>86</v>
      </c>
      <c r="C350" s="3" t="s">
        <v>68</v>
      </c>
      <c r="D350" s="2" t="s">
        <v>413</v>
      </c>
      <c r="E350" s="3" t="str">
        <f>dtbCommunities[[#This Row],[Island]]&amp;"-"&amp;dtbCommunities[[#This Row],[Area Council]]</f>
        <v>Eros-Virse</v>
      </c>
    </row>
    <row r="351" spans="1:5" x14ac:dyDescent="0.3">
      <c r="A351" s="3" t="s">
        <v>81</v>
      </c>
      <c r="B351" s="3" t="s">
        <v>41</v>
      </c>
      <c r="C351" s="3" t="s">
        <v>15</v>
      </c>
      <c r="D351" s="3" t="s">
        <v>414</v>
      </c>
      <c r="E351" s="3" t="str">
        <f>dtbCommunities[[#This Row],[Island]]&amp;"-"&amp;dtbCommunities[[#This Row],[Area Council]]</f>
        <v>Efite-North West</v>
      </c>
    </row>
    <row r="352" spans="1:5" x14ac:dyDescent="0.3">
      <c r="A352" s="3" t="s">
        <v>81</v>
      </c>
      <c r="B352" s="3" t="s">
        <v>47</v>
      </c>
      <c r="C352" s="3" t="s">
        <v>64</v>
      </c>
      <c r="D352" s="2" t="s">
        <v>415</v>
      </c>
      <c r="E352" s="3" t="str">
        <f>dtbCommunities[[#This Row],[Island]]&amp;"-"&amp;dtbCommunities[[#This Row],[Area Council]]</f>
        <v>Mitesu-Makumeu</v>
      </c>
    </row>
    <row r="353" spans="1:5" x14ac:dyDescent="0.3">
      <c r="A353" s="3" t="s">
        <v>81</v>
      </c>
      <c r="B353" s="3" t="s">
        <v>41</v>
      </c>
      <c r="C353" s="3" t="s">
        <v>21</v>
      </c>
      <c r="D353" s="3" t="s">
        <v>416</v>
      </c>
      <c r="E353" s="3" t="str">
        <f>dtbCommunities[[#This Row],[Island]]&amp;"-"&amp;dtbCommunities[[#This Row],[Area Council]]</f>
        <v>Efite-East</v>
      </c>
    </row>
    <row r="354" spans="1:5" x14ac:dyDescent="0.3">
      <c r="A354" s="3" t="s">
        <v>81</v>
      </c>
      <c r="B354" s="3" t="s">
        <v>48</v>
      </c>
      <c r="C354" s="3" t="s">
        <v>67</v>
      </c>
      <c r="D354" s="2" t="s">
        <v>417</v>
      </c>
      <c r="E354" s="3" t="str">
        <f>dtbCommunities[[#This Row],[Island]]&amp;"-"&amp;dtbCommunities[[#This Row],[Area Council]]</f>
        <v>Ngone-Ngana &amp; Pala</v>
      </c>
    </row>
    <row r="355" spans="1:5" x14ac:dyDescent="0.3">
      <c r="A355" s="3" t="s">
        <v>81</v>
      </c>
      <c r="B355" s="3" t="s">
        <v>86</v>
      </c>
      <c r="C355" s="3" t="s">
        <v>68</v>
      </c>
      <c r="D355" s="3" t="s">
        <v>418</v>
      </c>
      <c r="E355" s="3" t="str">
        <f>dtbCommunities[[#This Row],[Island]]&amp;"-"&amp;dtbCommunities[[#This Row],[Area Council]]</f>
        <v>Eros-Virse</v>
      </c>
    </row>
    <row r="356" spans="1:5" x14ac:dyDescent="0.3">
      <c r="A356" s="3" t="s">
        <v>81</v>
      </c>
      <c r="B356" s="3" t="s">
        <v>86</v>
      </c>
      <c r="C356" s="3" t="s">
        <v>58</v>
      </c>
      <c r="D356" s="3" t="s">
        <v>419</v>
      </c>
      <c r="E356" s="3" t="str">
        <f>dtbCommunities[[#This Row],[Island]]&amp;"-"&amp;dtbCommunities[[#This Row],[Area Council]]</f>
        <v>Eros-Vermele</v>
      </c>
    </row>
    <row r="357" spans="1:5" x14ac:dyDescent="0.3">
      <c r="A357" s="3" t="s">
        <v>81</v>
      </c>
      <c r="B357" s="3" t="s">
        <v>86</v>
      </c>
      <c r="C357" s="3" t="s">
        <v>58</v>
      </c>
      <c r="D357" s="3" t="s">
        <v>420</v>
      </c>
      <c r="E357" s="3" t="str">
        <f>dtbCommunities[[#This Row],[Island]]&amp;"-"&amp;dtbCommunities[[#This Row],[Area Council]]</f>
        <v>Eros-Vermele</v>
      </c>
    </row>
    <row r="358" spans="1:5" x14ac:dyDescent="0.3">
      <c r="A358" s="3" t="s">
        <v>81</v>
      </c>
      <c r="B358" s="3" t="s">
        <v>32</v>
      </c>
      <c r="C358" s="3" t="s">
        <v>33</v>
      </c>
      <c r="D358" s="3" t="s">
        <v>421</v>
      </c>
      <c r="E358" s="3" t="str">
        <f>dtbCommunities[[#This Row],[Island]]&amp;"-"&amp;dtbCommunities[[#This Row],[Area Council]]</f>
        <v>Emie-Emoi</v>
      </c>
    </row>
    <row r="359" spans="1:5" x14ac:dyDescent="0.3">
      <c r="A359" s="3" t="s">
        <v>81</v>
      </c>
      <c r="B359" s="3" t="s">
        <v>86</v>
      </c>
      <c r="C359" s="3" t="s">
        <v>68</v>
      </c>
      <c r="D359" s="2" t="s">
        <v>422</v>
      </c>
      <c r="E359" s="3" t="str">
        <f>dtbCommunities[[#This Row],[Island]]&amp;"-"&amp;dtbCommunities[[#This Row],[Area Council]]</f>
        <v>Eros-Virse</v>
      </c>
    </row>
    <row r="360" spans="1:5" x14ac:dyDescent="0.3">
      <c r="A360" s="3" t="s">
        <v>81</v>
      </c>
      <c r="B360" s="3" t="s">
        <v>86</v>
      </c>
      <c r="C360" s="3" t="s">
        <v>68</v>
      </c>
      <c r="D360" s="3" t="s">
        <v>423</v>
      </c>
      <c r="E360" s="3" t="str">
        <f>dtbCommunities[[#This Row],[Island]]&amp;"-"&amp;dtbCommunities[[#This Row],[Area Council]]</f>
        <v>Eros-Virse</v>
      </c>
    </row>
    <row r="361" spans="1:5" x14ac:dyDescent="0.3">
      <c r="A361" s="3" t="s">
        <v>81</v>
      </c>
      <c r="B361" s="3" t="s">
        <v>86</v>
      </c>
      <c r="C361" s="3" t="s">
        <v>68</v>
      </c>
      <c r="D361" s="3" t="s">
        <v>424</v>
      </c>
      <c r="E361" s="3" t="str">
        <f>dtbCommunities[[#This Row],[Island]]&amp;"-"&amp;dtbCommunities[[#This Row],[Area Council]]</f>
        <v>Eros-Virse</v>
      </c>
    </row>
    <row r="362" spans="1:5" x14ac:dyDescent="0.3">
      <c r="A362" s="3" t="s">
        <v>81</v>
      </c>
      <c r="B362" s="3" t="s">
        <v>86</v>
      </c>
      <c r="C362" s="3" t="s">
        <v>63</v>
      </c>
      <c r="D362" s="1" t="s">
        <v>425</v>
      </c>
      <c r="E362" s="3" t="str">
        <f>dtbCommunities[[#This Row],[Island]]&amp;"-"&amp;dtbCommunities[[#This Row],[Area Council]]</f>
        <v>Eros-Yorso</v>
      </c>
    </row>
    <row r="363" spans="1:5" x14ac:dyDescent="0.3">
      <c r="A363" s="3" t="s">
        <v>81</v>
      </c>
      <c r="B363" s="3" t="s">
        <v>41</v>
      </c>
      <c r="C363" s="3" t="s">
        <v>70</v>
      </c>
      <c r="D363" s="3" t="s">
        <v>606</v>
      </c>
      <c r="E363" s="3" t="str">
        <f>dtbCommunities[[#This Row],[Island]]&amp;"-"&amp;dtbCommunities[[#This Row],[Area Council]]</f>
        <v>Efite-Pengu</v>
      </c>
    </row>
    <row r="364" spans="1:5" x14ac:dyDescent="0.3">
      <c r="A364" s="3" t="s">
        <v>81</v>
      </c>
      <c r="B364" s="3" t="s">
        <v>41</v>
      </c>
      <c r="C364" s="3" t="s">
        <v>20</v>
      </c>
      <c r="D364" s="3" t="s">
        <v>426</v>
      </c>
      <c r="E364" s="3" t="str">
        <f>dtbCommunities[[#This Row],[Island]]&amp;"-"&amp;dtbCommunities[[#This Row],[Area Council]]</f>
        <v>Efite-North</v>
      </c>
    </row>
    <row r="365" spans="1:5" x14ac:dyDescent="0.3">
      <c r="A365" s="3" t="s">
        <v>81</v>
      </c>
      <c r="B365" s="3" t="s">
        <v>45</v>
      </c>
      <c r="C365" s="3" t="s">
        <v>69</v>
      </c>
      <c r="D365" s="3" t="s">
        <v>427</v>
      </c>
      <c r="E365" s="3" t="str">
        <f>dtbCommunities[[#This Row],[Island]]&amp;"-"&amp;dtbCommunities[[#This Row],[Area Council]]</f>
        <v>Tengai-Tingoo</v>
      </c>
    </row>
    <row r="366" spans="1:5" x14ac:dyDescent="0.3">
      <c r="A366" s="3" t="s">
        <v>81</v>
      </c>
      <c r="B366" s="3" t="s">
        <v>86</v>
      </c>
      <c r="C366" s="3" t="s">
        <v>58</v>
      </c>
      <c r="D366" s="3" t="s">
        <v>428</v>
      </c>
      <c r="E366" s="3" t="str">
        <f>dtbCommunities[[#This Row],[Island]]&amp;"-"&amp;dtbCommunities[[#This Row],[Area Council]]</f>
        <v>Eros-Vermele</v>
      </c>
    </row>
    <row r="367" spans="1:5" x14ac:dyDescent="0.3">
      <c r="A367" s="3" t="s">
        <v>81</v>
      </c>
      <c r="B367" s="3" t="s">
        <v>41</v>
      </c>
      <c r="C367" s="3" t="s">
        <v>21</v>
      </c>
      <c r="D367" s="3" t="s">
        <v>429</v>
      </c>
      <c r="E367" s="3" t="str">
        <f>dtbCommunities[[#This Row],[Island]]&amp;"-"&amp;dtbCommunities[[#This Row],[Area Council]]</f>
        <v>Efite-East</v>
      </c>
    </row>
    <row r="368" spans="1:5" x14ac:dyDescent="0.3">
      <c r="A368" s="3" t="s">
        <v>81</v>
      </c>
      <c r="B368" s="3" t="s">
        <v>44</v>
      </c>
      <c r="C368" s="3" t="s">
        <v>67</v>
      </c>
      <c r="D368" s="3" t="s">
        <v>430</v>
      </c>
      <c r="E368" s="3" t="str">
        <f>dtbCommunities[[#This Row],[Island]]&amp;"-"&amp;dtbCommunities[[#This Row],[Area Council]]</f>
        <v>Pili-Ngana &amp; Pala</v>
      </c>
    </row>
    <row r="369" spans="1:5" x14ac:dyDescent="0.3">
      <c r="A369" s="3" t="s">
        <v>81</v>
      </c>
      <c r="B369" s="3" t="s">
        <v>86</v>
      </c>
      <c r="C369" s="3" t="s">
        <v>65</v>
      </c>
      <c r="D369" s="2" t="s">
        <v>431</v>
      </c>
      <c r="E369" s="3" t="str">
        <f>dtbCommunities[[#This Row],[Island]]&amp;"-"&amp;dtbCommunities[[#This Row],[Area Council]]</f>
        <v>Eros-Varmaol</v>
      </c>
    </row>
    <row r="370" spans="1:5" x14ac:dyDescent="0.3">
      <c r="A370" s="3" t="s">
        <v>81</v>
      </c>
      <c r="B370" s="3" t="s">
        <v>86</v>
      </c>
      <c r="C370" s="3" t="s">
        <v>58</v>
      </c>
      <c r="D370" s="1" t="s">
        <v>432</v>
      </c>
      <c r="E370" s="3" t="str">
        <f>dtbCommunities[[#This Row],[Island]]&amp;"-"&amp;dtbCommunities[[#This Row],[Area Council]]</f>
        <v>Eros-Vermele</v>
      </c>
    </row>
    <row r="371" spans="1:5" x14ac:dyDescent="0.3">
      <c r="A371" s="3" t="s">
        <v>81</v>
      </c>
      <c r="B371" s="3" t="s">
        <v>41</v>
      </c>
      <c r="C371" s="3" t="s">
        <v>20</v>
      </c>
      <c r="D371" s="3" t="s">
        <v>433</v>
      </c>
      <c r="E371" s="3" t="str">
        <f>dtbCommunities[[#This Row],[Island]]&amp;"-"&amp;dtbCommunities[[#This Row],[Area Council]]</f>
        <v>Efite-North</v>
      </c>
    </row>
    <row r="372" spans="1:5" x14ac:dyDescent="0.3">
      <c r="A372" s="3" t="s">
        <v>81</v>
      </c>
      <c r="B372" s="3" t="s">
        <v>45</v>
      </c>
      <c r="C372" s="3" t="s">
        <v>69</v>
      </c>
      <c r="D372" s="1" t="s">
        <v>434</v>
      </c>
      <c r="E372" s="3" t="str">
        <f>dtbCommunities[[#This Row],[Island]]&amp;"-"&amp;dtbCommunities[[#This Row],[Area Council]]</f>
        <v>Tengai-Tingoo</v>
      </c>
    </row>
    <row r="373" spans="1:5" x14ac:dyDescent="0.3">
      <c r="A373" s="3" t="s">
        <v>81</v>
      </c>
      <c r="B373" s="3" t="s">
        <v>86</v>
      </c>
      <c r="C373" s="3" t="s">
        <v>65</v>
      </c>
      <c r="D373" s="3" t="s">
        <v>435</v>
      </c>
      <c r="E373" s="3" t="str">
        <f>dtbCommunities[[#This Row],[Island]]&amp;"-"&amp;dtbCommunities[[#This Row],[Area Council]]</f>
        <v>Eros-Varmaol</v>
      </c>
    </row>
    <row r="374" spans="1:5" x14ac:dyDescent="0.3">
      <c r="A374" s="3" t="s">
        <v>81</v>
      </c>
      <c r="B374" s="3" t="s">
        <v>86</v>
      </c>
      <c r="C374" s="3" t="s">
        <v>58</v>
      </c>
      <c r="D374" s="3" t="s">
        <v>436</v>
      </c>
      <c r="E374" s="3" t="str">
        <f>dtbCommunities[[#This Row],[Island]]&amp;"-"&amp;dtbCommunities[[#This Row],[Area Council]]</f>
        <v>Eros-Vermele</v>
      </c>
    </row>
    <row r="375" spans="1:5" x14ac:dyDescent="0.3">
      <c r="A375" s="3" t="s">
        <v>81</v>
      </c>
      <c r="B375" s="3" t="s">
        <v>41</v>
      </c>
      <c r="C375" s="3" t="s">
        <v>15</v>
      </c>
      <c r="D375" s="3" t="s">
        <v>437</v>
      </c>
      <c r="E375" s="3" t="str">
        <f>dtbCommunities[[#This Row],[Island]]&amp;"-"&amp;dtbCommunities[[#This Row],[Area Council]]</f>
        <v>Efite-North West</v>
      </c>
    </row>
    <row r="376" spans="1:5" x14ac:dyDescent="0.3">
      <c r="A376" s="3" t="s">
        <v>81</v>
      </c>
      <c r="B376" s="3" t="s">
        <v>86</v>
      </c>
      <c r="C376" s="3" t="s">
        <v>63</v>
      </c>
      <c r="D376" s="2" t="s">
        <v>438</v>
      </c>
      <c r="E376" s="3" t="str">
        <f>dtbCommunities[[#This Row],[Island]]&amp;"-"&amp;dtbCommunities[[#This Row],[Area Council]]</f>
        <v>Eros-Yorso</v>
      </c>
    </row>
    <row r="377" spans="1:5" x14ac:dyDescent="0.3">
      <c r="A377" s="3" t="s">
        <v>81</v>
      </c>
      <c r="B377" s="3" t="s">
        <v>43</v>
      </c>
      <c r="C377" s="3" t="s">
        <v>64</v>
      </c>
      <c r="D377" s="3" t="s">
        <v>439</v>
      </c>
      <c r="E377" s="3" t="str">
        <f>dtbCommunities[[#This Row],[Island]]&amp;"-"&amp;dtbCommunities[[#This Row],[Area Council]]</f>
        <v>Emao-Makumeu</v>
      </c>
    </row>
    <row r="378" spans="1:5" x14ac:dyDescent="0.3">
      <c r="A378" s="3" t="s">
        <v>81</v>
      </c>
      <c r="B378" s="3" t="s">
        <v>86</v>
      </c>
      <c r="C378" s="3" t="s">
        <v>65</v>
      </c>
      <c r="D378" s="1" t="s">
        <v>440</v>
      </c>
      <c r="E378" s="3" t="str">
        <f>dtbCommunities[[#This Row],[Island]]&amp;"-"&amp;dtbCommunities[[#This Row],[Area Council]]</f>
        <v>Eros-Varmaol</v>
      </c>
    </row>
    <row r="379" spans="1:5" x14ac:dyDescent="0.3">
      <c r="A379" s="3" t="s">
        <v>81</v>
      </c>
      <c r="B379" s="3" t="s">
        <v>41</v>
      </c>
      <c r="C379" s="3" t="s">
        <v>61</v>
      </c>
      <c r="D379" s="3" t="s">
        <v>441</v>
      </c>
      <c r="E379" s="3" t="str">
        <f>dtbCommunities[[#This Row],[Island]]&amp;"-"&amp;dtbCommunities[[#This Row],[Area Council]]</f>
        <v>Efite-Eritap</v>
      </c>
    </row>
    <row r="380" spans="1:5" x14ac:dyDescent="0.3">
      <c r="A380" s="3" t="s">
        <v>81</v>
      </c>
      <c r="B380" s="3" t="s">
        <v>41</v>
      </c>
      <c r="C380" s="3" t="s">
        <v>15</v>
      </c>
      <c r="D380" s="3" t="s">
        <v>442</v>
      </c>
      <c r="E380" s="3" t="str">
        <f>dtbCommunities[[#This Row],[Island]]&amp;"-"&amp;dtbCommunities[[#This Row],[Area Council]]</f>
        <v>Efite-North West</v>
      </c>
    </row>
    <row r="381" spans="1:5" x14ac:dyDescent="0.3">
      <c r="A381" s="3" t="s">
        <v>81</v>
      </c>
      <c r="B381" s="3" t="s">
        <v>41</v>
      </c>
      <c r="C381" s="3" t="s">
        <v>20</v>
      </c>
      <c r="D381" s="3" t="s">
        <v>443</v>
      </c>
      <c r="E381" s="3" t="str">
        <f>dtbCommunities[[#This Row],[Island]]&amp;"-"&amp;dtbCommunities[[#This Row],[Area Council]]</f>
        <v>Efite-North</v>
      </c>
    </row>
    <row r="382" spans="1:5" x14ac:dyDescent="0.3">
      <c r="A382" s="3" t="s">
        <v>81</v>
      </c>
      <c r="B382" s="3" t="s">
        <v>86</v>
      </c>
      <c r="C382" s="3" t="s">
        <v>65</v>
      </c>
      <c r="D382" s="3" t="s">
        <v>444</v>
      </c>
      <c r="E382" s="3" t="str">
        <f>dtbCommunities[[#This Row],[Island]]&amp;"-"&amp;dtbCommunities[[#This Row],[Area Council]]</f>
        <v>Eros-Varmaol</v>
      </c>
    </row>
    <row r="383" spans="1:5" x14ac:dyDescent="0.3">
      <c r="A383" s="3" t="s">
        <v>81</v>
      </c>
      <c r="B383" s="3" t="s">
        <v>48</v>
      </c>
      <c r="C383" s="3" t="s">
        <v>67</v>
      </c>
      <c r="D383" s="2" t="s">
        <v>445</v>
      </c>
      <c r="E383" s="3" t="str">
        <f>dtbCommunities[[#This Row],[Island]]&amp;"-"&amp;dtbCommunities[[#This Row],[Area Council]]</f>
        <v>Ngone-Ngana &amp; Pala</v>
      </c>
    </row>
    <row r="384" spans="1:5" x14ac:dyDescent="0.3">
      <c r="A384" s="3" t="s">
        <v>81</v>
      </c>
      <c r="B384" s="3" t="s">
        <v>41</v>
      </c>
      <c r="C384" s="3" t="s">
        <v>15</v>
      </c>
      <c r="D384" s="3" t="s">
        <v>446</v>
      </c>
      <c r="E384" s="3" t="str">
        <f>dtbCommunities[[#This Row],[Island]]&amp;"-"&amp;dtbCommunities[[#This Row],[Area Council]]</f>
        <v>Efite-North West</v>
      </c>
    </row>
    <row r="385" spans="1:5" x14ac:dyDescent="0.3">
      <c r="A385" s="3" t="s">
        <v>81</v>
      </c>
      <c r="B385" s="3" t="s">
        <v>41</v>
      </c>
      <c r="C385" s="3" t="s">
        <v>61</v>
      </c>
      <c r="D385" s="2" t="s">
        <v>447</v>
      </c>
      <c r="E385" s="3" t="str">
        <f>dtbCommunities[[#This Row],[Island]]&amp;"-"&amp;dtbCommunities[[#This Row],[Area Council]]</f>
        <v>Efite-Eritap</v>
      </c>
    </row>
    <row r="386" spans="1:5" x14ac:dyDescent="0.3">
      <c r="A386" s="3" t="s">
        <v>81</v>
      </c>
      <c r="B386" s="3" t="s">
        <v>86</v>
      </c>
      <c r="C386" s="3" t="s">
        <v>63</v>
      </c>
      <c r="D386" s="2" t="s">
        <v>448</v>
      </c>
      <c r="E386" s="3" t="str">
        <f>dtbCommunities[[#This Row],[Island]]&amp;"-"&amp;dtbCommunities[[#This Row],[Area Council]]</f>
        <v>Eros-Yorso</v>
      </c>
    </row>
    <row r="387" spans="1:5" x14ac:dyDescent="0.3">
      <c r="A387" s="3" t="s">
        <v>81</v>
      </c>
      <c r="B387" s="3" t="s">
        <v>41</v>
      </c>
      <c r="C387" s="3" t="s">
        <v>15</v>
      </c>
      <c r="D387" s="2" t="s">
        <v>449</v>
      </c>
      <c r="E387" s="3" t="str">
        <f>dtbCommunities[[#This Row],[Island]]&amp;"-"&amp;dtbCommunities[[#This Row],[Area Council]]</f>
        <v>Efite-North West</v>
      </c>
    </row>
    <row r="388" spans="1:5" x14ac:dyDescent="0.3">
      <c r="A388" s="3" t="s">
        <v>81</v>
      </c>
      <c r="B388" s="3" t="s">
        <v>42</v>
      </c>
      <c r="C388" s="3" t="s">
        <v>60</v>
      </c>
      <c r="D388" s="3" t="s">
        <v>450</v>
      </c>
      <c r="E388" s="3" t="str">
        <f>dtbCommunities[[#This Row],[Island]]&amp;"-"&amp;dtbCommunities[[#This Row],[Area Council]]</f>
        <v>Tangoruki-Tengireku</v>
      </c>
    </row>
    <row r="389" spans="1:5" x14ac:dyDescent="0.3">
      <c r="A389" s="3" t="s">
        <v>81</v>
      </c>
      <c r="B389" s="3" t="s">
        <v>86</v>
      </c>
      <c r="C389" s="3" t="s">
        <v>63</v>
      </c>
      <c r="D389" s="3" t="s">
        <v>451</v>
      </c>
      <c r="E389" s="3" t="str">
        <f>dtbCommunities[[#This Row],[Island]]&amp;"-"&amp;dtbCommunities[[#This Row],[Area Council]]</f>
        <v>Eros-Yorso</v>
      </c>
    </row>
    <row r="390" spans="1:5" x14ac:dyDescent="0.3">
      <c r="A390" s="3" t="s">
        <v>81</v>
      </c>
      <c r="B390" s="3" t="s">
        <v>43</v>
      </c>
      <c r="C390" s="3" t="s">
        <v>64</v>
      </c>
      <c r="D390" s="6" t="s">
        <v>452</v>
      </c>
      <c r="E390" s="3" t="str">
        <f>dtbCommunities[[#This Row],[Island]]&amp;"-"&amp;dtbCommunities[[#This Row],[Area Council]]</f>
        <v>Emao-Makumeu</v>
      </c>
    </row>
    <row r="391" spans="1:5" x14ac:dyDescent="0.3">
      <c r="A391" s="3" t="s">
        <v>81</v>
      </c>
      <c r="B391" s="3" t="s">
        <v>48</v>
      </c>
      <c r="C391" s="3" t="s">
        <v>67</v>
      </c>
      <c r="D391" s="3" t="s">
        <v>453</v>
      </c>
      <c r="E391" s="3" t="str">
        <f>dtbCommunities[[#This Row],[Island]]&amp;"-"&amp;dtbCommunities[[#This Row],[Area Council]]</f>
        <v>Ngone-Ngana &amp; Pala</v>
      </c>
    </row>
    <row r="392" spans="1:5" x14ac:dyDescent="0.3">
      <c r="A392" s="3" t="s">
        <v>81</v>
      </c>
      <c r="B392" s="3" t="s">
        <v>48</v>
      </c>
      <c r="C392" s="3" t="s">
        <v>67</v>
      </c>
      <c r="D392" s="3" t="s">
        <v>454</v>
      </c>
      <c r="E392" s="3" t="str">
        <f>dtbCommunities[[#This Row],[Island]]&amp;"-"&amp;dtbCommunities[[#This Row],[Area Council]]</f>
        <v>Ngone-Ngana &amp; Pala</v>
      </c>
    </row>
    <row r="393" spans="1:5" x14ac:dyDescent="0.3">
      <c r="A393" s="3" t="s">
        <v>81</v>
      </c>
      <c r="B393" s="3" t="s">
        <v>48</v>
      </c>
      <c r="C393" s="3" t="s">
        <v>67</v>
      </c>
      <c r="D393" s="2" t="s">
        <v>455</v>
      </c>
      <c r="E393" s="3" t="str">
        <f>dtbCommunities[[#This Row],[Island]]&amp;"-"&amp;dtbCommunities[[#This Row],[Area Council]]</f>
        <v>Ngone-Ngana &amp; Pala</v>
      </c>
    </row>
    <row r="394" spans="1:5" x14ac:dyDescent="0.3">
      <c r="A394" s="3" t="s">
        <v>81</v>
      </c>
      <c r="B394" s="3" t="s">
        <v>43</v>
      </c>
      <c r="C394" s="3" t="s">
        <v>64</v>
      </c>
      <c r="D394" s="3" t="s">
        <v>456</v>
      </c>
      <c r="E394" s="3" t="str">
        <f>dtbCommunities[[#This Row],[Island]]&amp;"-"&amp;dtbCommunities[[#This Row],[Area Council]]</f>
        <v>Emao-Makumeu</v>
      </c>
    </row>
    <row r="395" spans="1:5" x14ac:dyDescent="0.3">
      <c r="A395" s="3" t="s">
        <v>81</v>
      </c>
      <c r="B395" s="3" t="s">
        <v>86</v>
      </c>
      <c r="C395" s="3" t="s">
        <v>58</v>
      </c>
      <c r="D395" s="2" t="s">
        <v>457</v>
      </c>
      <c r="E395" s="3" t="str">
        <f>dtbCommunities[[#This Row],[Island]]&amp;"-"&amp;dtbCommunities[[#This Row],[Area Council]]</f>
        <v>Eros-Vermele</v>
      </c>
    </row>
    <row r="396" spans="1:5" x14ac:dyDescent="0.3">
      <c r="A396" s="3" t="s">
        <v>81</v>
      </c>
      <c r="B396" s="3" t="s">
        <v>86</v>
      </c>
      <c r="C396" s="3" t="s">
        <v>65</v>
      </c>
      <c r="D396" s="3" t="s">
        <v>458</v>
      </c>
      <c r="E396" s="3" t="str">
        <f>dtbCommunities[[#This Row],[Island]]&amp;"-"&amp;dtbCommunities[[#This Row],[Area Council]]</f>
        <v>Eros-Varmaol</v>
      </c>
    </row>
    <row r="397" spans="1:5" x14ac:dyDescent="0.3">
      <c r="A397" s="3" t="s">
        <v>81</v>
      </c>
      <c r="B397" s="3" t="s">
        <v>44</v>
      </c>
      <c r="C397" s="3" t="s">
        <v>67</v>
      </c>
      <c r="D397" s="3" t="s">
        <v>459</v>
      </c>
      <c r="E397" s="3" t="str">
        <f>dtbCommunities[[#This Row],[Island]]&amp;"-"&amp;dtbCommunities[[#This Row],[Area Council]]</f>
        <v>Pili-Ngana &amp; Pala</v>
      </c>
    </row>
    <row r="398" spans="1:5" x14ac:dyDescent="0.3">
      <c r="A398" s="3" t="s">
        <v>81</v>
      </c>
      <c r="B398" s="3" t="s">
        <v>32</v>
      </c>
      <c r="C398" s="3" t="s">
        <v>33</v>
      </c>
      <c r="D398" s="2" t="s">
        <v>460</v>
      </c>
      <c r="E398" s="3" t="str">
        <f>dtbCommunities[[#This Row],[Island]]&amp;"-"&amp;dtbCommunities[[#This Row],[Area Council]]</f>
        <v>Emie-Emoi</v>
      </c>
    </row>
    <row r="399" spans="1:5" x14ac:dyDescent="0.3">
      <c r="A399" s="3" t="s">
        <v>81</v>
      </c>
      <c r="B399" s="3" t="s">
        <v>44</v>
      </c>
      <c r="C399" s="3" t="s">
        <v>67</v>
      </c>
      <c r="D399" s="2" t="s">
        <v>461</v>
      </c>
      <c r="E399" s="3" t="str">
        <f>dtbCommunities[[#This Row],[Island]]&amp;"-"&amp;dtbCommunities[[#This Row],[Area Council]]</f>
        <v>Pili-Ngana &amp; Pala</v>
      </c>
    </row>
    <row r="400" spans="1:5" x14ac:dyDescent="0.3">
      <c r="A400" s="3" t="s">
        <v>81</v>
      </c>
      <c r="B400" s="3" t="s">
        <v>86</v>
      </c>
      <c r="C400" s="3" t="s">
        <v>58</v>
      </c>
      <c r="D400" s="2" t="s">
        <v>607</v>
      </c>
      <c r="E400" s="3" t="str">
        <f>dtbCommunities[[#This Row],[Island]]&amp;"-"&amp;dtbCommunities[[#This Row],[Area Council]]</f>
        <v>Eros-Vermele</v>
      </c>
    </row>
    <row r="401" spans="1:5" x14ac:dyDescent="0.3">
      <c r="A401" s="3" t="s">
        <v>82</v>
      </c>
      <c r="B401" s="3" t="s">
        <v>49</v>
      </c>
      <c r="C401" s="3" t="s">
        <v>71</v>
      </c>
      <c r="D401" s="3" t="s">
        <v>462</v>
      </c>
      <c r="E401" s="3" t="str">
        <f>dtbCommunities[[#This Row],[Island]]&amp;"-"&amp;dtbCommunities[[#This Row],[Area Council]]</f>
        <v>Anoetyam-Anoatyom</v>
      </c>
    </row>
    <row r="402" spans="1:5" x14ac:dyDescent="0.3">
      <c r="A402" s="3" t="s">
        <v>82</v>
      </c>
      <c r="B402" s="3" t="s">
        <v>49</v>
      </c>
      <c r="C402" s="3" t="s">
        <v>71</v>
      </c>
      <c r="D402" s="3" t="s">
        <v>463</v>
      </c>
      <c r="E402" s="3" t="str">
        <f>dtbCommunities[[#This Row],[Island]]&amp;"-"&amp;dtbCommunities[[#This Row],[Area Council]]</f>
        <v>Anoetyam-Anoatyom</v>
      </c>
    </row>
    <row r="403" spans="1:5" x14ac:dyDescent="0.3">
      <c r="A403" s="3" t="s">
        <v>82</v>
      </c>
      <c r="B403" s="3" t="s">
        <v>49</v>
      </c>
      <c r="C403" s="3" t="s">
        <v>71</v>
      </c>
      <c r="D403" s="4" t="s">
        <v>464</v>
      </c>
      <c r="E403" s="3" t="str">
        <f>dtbCommunities[[#This Row],[Island]]&amp;"-"&amp;dtbCommunities[[#This Row],[Area Council]]</f>
        <v>Anoetyam-Anoatyom</v>
      </c>
    </row>
    <row r="404" spans="1:5" x14ac:dyDescent="0.3">
      <c r="A404" s="3" t="s">
        <v>82</v>
      </c>
      <c r="B404" s="3" t="s">
        <v>49</v>
      </c>
      <c r="C404" s="3" t="s">
        <v>71</v>
      </c>
      <c r="D404" s="4" t="s">
        <v>465</v>
      </c>
      <c r="E404" s="3" t="str">
        <f>dtbCommunities[[#This Row],[Island]]&amp;"-"&amp;dtbCommunities[[#This Row],[Area Council]]</f>
        <v>Anoetyam-Anoatyom</v>
      </c>
    </row>
    <row r="405" spans="1:5" x14ac:dyDescent="0.3">
      <c r="A405" s="3" t="s">
        <v>82</v>
      </c>
      <c r="B405" s="3" t="s">
        <v>49</v>
      </c>
      <c r="C405" s="3" t="s">
        <v>71</v>
      </c>
      <c r="D405" s="3" t="s">
        <v>466</v>
      </c>
      <c r="E405" s="3" t="str">
        <f>dtbCommunities[[#This Row],[Island]]&amp;"-"&amp;dtbCommunities[[#This Row],[Area Council]]</f>
        <v>Anoetyam-Anoatyom</v>
      </c>
    </row>
    <row r="406" spans="1:5" x14ac:dyDescent="0.3">
      <c r="A406" s="3" t="s">
        <v>82</v>
      </c>
      <c r="B406" s="3" t="s">
        <v>49</v>
      </c>
      <c r="C406" s="3" t="s">
        <v>71</v>
      </c>
      <c r="D406" s="4" t="s">
        <v>467</v>
      </c>
      <c r="E406" s="3" t="str">
        <f>dtbCommunities[[#This Row],[Island]]&amp;"-"&amp;dtbCommunities[[#This Row],[Area Council]]</f>
        <v>Anoetyam-Anoatyom</v>
      </c>
    </row>
    <row r="407" spans="1:5" x14ac:dyDescent="0.3">
      <c r="A407" s="3" t="s">
        <v>82</v>
      </c>
      <c r="B407" s="3" t="s">
        <v>49</v>
      </c>
      <c r="C407" s="3" t="s">
        <v>71</v>
      </c>
      <c r="D407" s="3" t="s">
        <v>468</v>
      </c>
      <c r="E407" s="3" t="str">
        <f>dtbCommunities[[#This Row],[Island]]&amp;"-"&amp;dtbCommunities[[#This Row],[Area Council]]</f>
        <v>Anoetyam-Anoatyom</v>
      </c>
    </row>
    <row r="408" spans="1:5" x14ac:dyDescent="0.3">
      <c r="A408" s="3" t="s">
        <v>82</v>
      </c>
      <c r="B408" s="3" t="s">
        <v>50</v>
      </c>
      <c r="C408" s="3" t="s">
        <v>18</v>
      </c>
      <c r="D408" s="3" t="s">
        <v>469</v>
      </c>
      <c r="E408" s="3" t="str">
        <f>dtbCommunities[[#This Row],[Island]]&amp;"-"&amp;dtbCommunities[[#This Row],[Area Council]]</f>
        <v>Tanne-West</v>
      </c>
    </row>
    <row r="409" spans="1:5" x14ac:dyDescent="0.3">
      <c r="A409" s="3" t="s">
        <v>82</v>
      </c>
      <c r="B409" s="3" t="s">
        <v>87</v>
      </c>
      <c r="C409" s="3" t="s">
        <v>20</v>
      </c>
      <c r="D409" s="5" t="s">
        <v>470</v>
      </c>
      <c r="E409" s="3" t="str">
        <f>dtbCommunities[[#This Row],[Island]]&amp;"-"&amp;dtbCommunities[[#This Row],[Area Council]]</f>
        <v>Errormenge-North</v>
      </c>
    </row>
    <row r="410" spans="1:5" x14ac:dyDescent="0.3">
      <c r="A410" s="3" t="s">
        <v>82</v>
      </c>
      <c r="B410" s="3" t="s">
        <v>50</v>
      </c>
      <c r="C410" s="3" t="s">
        <v>21</v>
      </c>
      <c r="D410" s="3" t="s">
        <v>471</v>
      </c>
      <c r="E410" s="3" t="str">
        <f>dtbCommunities[[#This Row],[Island]]&amp;"-"&amp;dtbCommunities[[#This Row],[Area Council]]</f>
        <v>Tanne-East</v>
      </c>
    </row>
    <row r="411" spans="1:5" x14ac:dyDescent="0.3">
      <c r="A411" s="3" t="s">
        <v>82</v>
      </c>
      <c r="B411" s="3" t="s">
        <v>50</v>
      </c>
      <c r="C411" s="3" t="s">
        <v>20</v>
      </c>
      <c r="D411" s="4" t="s">
        <v>472</v>
      </c>
      <c r="E411" s="3" t="str">
        <f>dtbCommunities[[#This Row],[Island]]&amp;"-"&amp;dtbCommunities[[#This Row],[Area Council]]</f>
        <v>Tanne-North</v>
      </c>
    </row>
    <row r="412" spans="1:5" x14ac:dyDescent="0.3">
      <c r="A412" s="3" t="s">
        <v>82</v>
      </c>
      <c r="B412" s="3" t="s">
        <v>50</v>
      </c>
      <c r="C412" s="3" t="s">
        <v>21</v>
      </c>
      <c r="D412" s="4" t="s">
        <v>473</v>
      </c>
      <c r="E412" s="3" t="str">
        <f>dtbCommunities[[#This Row],[Island]]&amp;"-"&amp;dtbCommunities[[#This Row],[Area Council]]</f>
        <v>Tanne-East</v>
      </c>
    </row>
    <row r="413" spans="1:5" x14ac:dyDescent="0.3">
      <c r="A413" s="3" t="s">
        <v>82</v>
      </c>
      <c r="B413" s="3" t="s">
        <v>50</v>
      </c>
      <c r="C413" s="3" t="s">
        <v>19</v>
      </c>
      <c r="D413" s="4" t="s">
        <v>474</v>
      </c>
      <c r="E413" s="3" t="str">
        <f>dtbCommunities[[#This Row],[Island]]&amp;"-"&amp;dtbCommunities[[#This Row],[Area Council]]</f>
        <v>Tanne-South West</v>
      </c>
    </row>
    <row r="414" spans="1:5" x14ac:dyDescent="0.3">
      <c r="A414" s="3" t="s">
        <v>82</v>
      </c>
      <c r="B414" s="3" t="s">
        <v>50</v>
      </c>
      <c r="C414" s="3" t="s">
        <v>14</v>
      </c>
      <c r="D414" s="3" t="s">
        <v>475</v>
      </c>
      <c r="E414" s="3" t="str">
        <f>dtbCommunities[[#This Row],[Island]]&amp;"-"&amp;dtbCommunities[[#This Row],[Area Council]]</f>
        <v>Tanne-South</v>
      </c>
    </row>
    <row r="415" spans="1:5" x14ac:dyDescent="0.3">
      <c r="A415" s="3" t="s">
        <v>82</v>
      </c>
      <c r="B415" s="3" t="s">
        <v>87</v>
      </c>
      <c r="C415" s="3" t="s">
        <v>14</v>
      </c>
      <c r="D415" s="5" t="s">
        <v>476</v>
      </c>
      <c r="E415" s="3" t="str">
        <f>dtbCommunities[[#This Row],[Island]]&amp;"-"&amp;dtbCommunities[[#This Row],[Area Council]]</f>
        <v>Errormenge-South</v>
      </c>
    </row>
    <row r="416" spans="1:5" x14ac:dyDescent="0.3">
      <c r="A416" s="3" t="s">
        <v>82</v>
      </c>
      <c r="B416" s="3" t="s">
        <v>50</v>
      </c>
      <c r="C416" s="3" t="s">
        <v>21</v>
      </c>
      <c r="D416" s="5" t="s">
        <v>477</v>
      </c>
      <c r="E416" s="3" t="str">
        <f>dtbCommunities[[#This Row],[Island]]&amp;"-"&amp;dtbCommunities[[#This Row],[Area Council]]</f>
        <v>Tanne-East</v>
      </c>
    </row>
    <row r="417" spans="1:5" x14ac:dyDescent="0.3">
      <c r="A417" s="3" t="s">
        <v>82</v>
      </c>
      <c r="B417" s="3" t="s">
        <v>50</v>
      </c>
      <c r="C417" s="3" t="s">
        <v>14</v>
      </c>
      <c r="D417" s="5" t="s">
        <v>478</v>
      </c>
      <c r="E417" s="3" t="str">
        <f>dtbCommunities[[#This Row],[Island]]&amp;"-"&amp;dtbCommunities[[#This Row],[Area Council]]</f>
        <v>Tanne-South</v>
      </c>
    </row>
    <row r="418" spans="1:5" x14ac:dyDescent="0.3">
      <c r="A418" s="3" t="s">
        <v>82</v>
      </c>
      <c r="B418" s="3" t="s">
        <v>51</v>
      </c>
      <c r="C418" s="3" t="s">
        <v>72</v>
      </c>
      <c r="D418" s="4" t="s">
        <v>479</v>
      </c>
      <c r="E418" s="3" t="str">
        <f>dtbCommunities[[#This Row],[Island]]&amp;"-"&amp;dtbCommunities[[#This Row],[Area Council]]</f>
        <v>Fitene-Fotani</v>
      </c>
    </row>
    <row r="419" spans="1:5" x14ac:dyDescent="0.3">
      <c r="A419" s="3" t="s">
        <v>82</v>
      </c>
      <c r="B419" s="3" t="s">
        <v>50</v>
      </c>
      <c r="C419" s="3" t="s">
        <v>19</v>
      </c>
      <c r="D419" s="3" t="s">
        <v>480</v>
      </c>
      <c r="E419" s="3" t="str">
        <f>dtbCommunities[[#This Row],[Island]]&amp;"-"&amp;dtbCommunities[[#This Row],[Area Council]]</f>
        <v>Tanne-South West</v>
      </c>
    </row>
    <row r="420" spans="1:5" x14ac:dyDescent="0.3">
      <c r="A420" s="3" t="s">
        <v>82</v>
      </c>
      <c r="B420" s="3" t="s">
        <v>51</v>
      </c>
      <c r="C420" s="3" t="s">
        <v>72</v>
      </c>
      <c r="D420" s="5" t="s">
        <v>481</v>
      </c>
      <c r="E420" s="3" t="str">
        <f>dtbCommunities[[#This Row],[Island]]&amp;"-"&amp;dtbCommunities[[#This Row],[Area Council]]</f>
        <v>Fitene-Fotani</v>
      </c>
    </row>
    <row r="421" spans="1:5" x14ac:dyDescent="0.3">
      <c r="A421" s="3" t="s">
        <v>82</v>
      </c>
      <c r="B421" s="3" t="s">
        <v>50</v>
      </c>
      <c r="C421" s="3" t="s">
        <v>18</v>
      </c>
      <c r="D421" s="3" t="s">
        <v>482</v>
      </c>
      <c r="E421" s="3" t="str">
        <f>dtbCommunities[[#This Row],[Island]]&amp;"-"&amp;dtbCommunities[[#This Row],[Area Council]]</f>
        <v>Tanne-West</v>
      </c>
    </row>
    <row r="422" spans="1:5" x14ac:dyDescent="0.3">
      <c r="A422" s="3" t="s">
        <v>82</v>
      </c>
      <c r="B422" s="3" t="s">
        <v>50</v>
      </c>
      <c r="C422" s="3" t="s">
        <v>14</v>
      </c>
      <c r="D422" s="3" t="s">
        <v>483</v>
      </c>
      <c r="E422" s="3" t="str">
        <f>dtbCommunities[[#This Row],[Island]]&amp;"-"&amp;dtbCommunities[[#This Row],[Area Council]]</f>
        <v>Tanne-South</v>
      </c>
    </row>
    <row r="423" spans="1:5" ht="15" customHeight="1" x14ac:dyDescent="0.3">
      <c r="A423" s="3" t="s">
        <v>82</v>
      </c>
      <c r="B423" s="3" t="s">
        <v>52</v>
      </c>
      <c r="C423" s="3" t="s">
        <v>73</v>
      </c>
      <c r="D423" s="3" t="s">
        <v>484</v>
      </c>
      <c r="E423" s="3" t="str">
        <f>dtbCommunities[[#This Row],[Island]]&amp;"-"&amp;dtbCommunities[[#This Row],[Area Council]]</f>
        <v>Anawi-Aniwe</v>
      </c>
    </row>
    <row r="424" spans="1:5" x14ac:dyDescent="0.3">
      <c r="A424" s="3" t="s">
        <v>82</v>
      </c>
      <c r="B424" s="3" t="s">
        <v>50</v>
      </c>
      <c r="C424" s="3" t="s">
        <v>18</v>
      </c>
      <c r="D424" s="4" t="s">
        <v>485</v>
      </c>
      <c r="E424" s="3" t="str">
        <f>dtbCommunities[[#This Row],[Island]]&amp;"-"&amp;dtbCommunities[[#This Row],[Area Council]]</f>
        <v>Tanne-West</v>
      </c>
    </row>
    <row r="425" spans="1:5" x14ac:dyDescent="0.3">
      <c r="A425" s="3" t="s">
        <v>82</v>
      </c>
      <c r="B425" s="3" t="s">
        <v>50</v>
      </c>
      <c r="C425" s="3" t="s">
        <v>14</v>
      </c>
      <c r="D425" s="4" t="s">
        <v>486</v>
      </c>
      <c r="E425" s="3" t="str">
        <f>dtbCommunities[[#This Row],[Island]]&amp;"-"&amp;dtbCommunities[[#This Row],[Area Council]]</f>
        <v>Tanne-South</v>
      </c>
    </row>
    <row r="426" spans="1:5" x14ac:dyDescent="0.3">
      <c r="A426" s="3" t="s">
        <v>82</v>
      </c>
      <c r="B426" s="3" t="s">
        <v>50</v>
      </c>
      <c r="C426" s="3" t="s">
        <v>14</v>
      </c>
      <c r="D426" s="4" t="s">
        <v>487</v>
      </c>
      <c r="E426" s="3" t="str">
        <f>dtbCommunities[[#This Row],[Island]]&amp;"-"&amp;dtbCommunities[[#This Row],[Area Council]]</f>
        <v>Tanne-South</v>
      </c>
    </row>
    <row r="427" spans="1:5" ht="15" customHeight="1" x14ac:dyDescent="0.3">
      <c r="A427" s="3" t="s">
        <v>82</v>
      </c>
      <c r="B427" s="3" t="s">
        <v>52</v>
      </c>
      <c r="C427" s="3" t="s">
        <v>73</v>
      </c>
      <c r="D427" s="3" t="s">
        <v>488</v>
      </c>
      <c r="E427" s="3" t="str">
        <f>dtbCommunities[[#This Row],[Island]]&amp;"-"&amp;dtbCommunities[[#This Row],[Area Council]]</f>
        <v>Anawi-Aniwe</v>
      </c>
    </row>
    <row r="428" spans="1:5" x14ac:dyDescent="0.3">
      <c r="A428" s="3" t="s">
        <v>82</v>
      </c>
      <c r="B428" s="3" t="s">
        <v>49</v>
      </c>
      <c r="C428" s="3" t="s">
        <v>71</v>
      </c>
      <c r="D428" s="3" t="s">
        <v>489</v>
      </c>
      <c r="E428" s="3" t="str">
        <f>dtbCommunities[[#This Row],[Island]]&amp;"-"&amp;dtbCommunities[[#This Row],[Area Council]]</f>
        <v>Anoetyam-Anoatyom</v>
      </c>
    </row>
    <row r="429" spans="1:5" x14ac:dyDescent="0.3">
      <c r="A429" s="3" t="s">
        <v>82</v>
      </c>
      <c r="B429" s="3" t="s">
        <v>50</v>
      </c>
      <c r="C429" s="3" t="s">
        <v>18</v>
      </c>
      <c r="D429" s="5" t="s">
        <v>490</v>
      </c>
      <c r="E429" s="3" t="str">
        <f>dtbCommunities[[#This Row],[Island]]&amp;"-"&amp;dtbCommunities[[#This Row],[Area Council]]</f>
        <v>Tanne-West</v>
      </c>
    </row>
    <row r="430" spans="1:5" x14ac:dyDescent="0.3">
      <c r="A430" s="3" t="s">
        <v>82</v>
      </c>
      <c r="B430" s="3" t="s">
        <v>51</v>
      </c>
      <c r="C430" s="3" t="s">
        <v>72</v>
      </c>
      <c r="D430" s="4" t="s">
        <v>491</v>
      </c>
      <c r="E430" s="3" t="str">
        <f>dtbCommunities[[#This Row],[Island]]&amp;"-"&amp;dtbCommunities[[#This Row],[Area Council]]</f>
        <v>Fitene-Fotani</v>
      </c>
    </row>
    <row r="431" spans="1:5" x14ac:dyDescent="0.3">
      <c r="A431" s="3" t="s">
        <v>82</v>
      </c>
      <c r="B431" s="3" t="s">
        <v>50</v>
      </c>
      <c r="C431" s="3" t="s">
        <v>21</v>
      </c>
      <c r="D431" s="4" t="s">
        <v>492</v>
      </c>
      <c r="E431" s="3" t="str">
        <f>dtbCommunities[[#This Row],[Island]]&amp;"-"&amp;dtbCommunities[[#This Row],[Area Council]]</f>
        <v>Tanne-East</v>
      </c>
    </row>
    <row r="432" spans="1:5" x14ac:dyDescent="0.3">
      <c r="A432" s="3" t="s">
        <v>82</v>
      </c>
      <c r="B432" s="3" t="s">
        <v>87</v>
      </c>
      <c r="C432" s="3" t="s">
        <v>20</v>
      </c>
      <c r="D432" s="4" t="s">
        <v>493</v>
      </c>
      <c r="E432" s="3" t="str">
        <f>dtbCommunities[[#This Row],[Island]]&amp;"-"&amp;dtbCommunities[[#This Row],[Area Council]]</f>
        <v>Errormenge-North</v>
      </c>
    </row>
    <row r="433" spans="1:5" x14ac:dyDescent="0.3">
      <c r="A433" s="3" t="s">
        <v>82</v>
      </c>
      <c r="B433" s="3" t="s">
        <v>50</v>
      </c>
      <c r="C433" s="3" t="s">
        <v>18</v>
      </c>
      <c r="D433" s="4" t="s">
        <v>494</v>
      </c>
      <c r="E433" s="3" t="str">
        <f>dtbCommunities[[#This Row],[Island]]&amp;"-"&amp;dtbCommunities[[#This Row],[Area Council]]</f>
        <v>Tanne-West</v>
      </c>
    </row>
    <row r="434" spans="1:5" x14ac:dyDescent="0.3">
      <c r="A434" s="3" t="s">
        <v>82</v>
      </c>
      <c r="B434" s="3" t="s">
        <v>50</v>
      </c>
      <c r="C434" s="3" t="s">
        <v>18</v>
      </c>
      <c r="D434" s="4" t="s">
        <v>495</v>
      </c>
      <c r="E434" s="3" t="str">
        <f>dtbCommunities[[#This Row],[Island]]&amp;"-"&amp;dtbCommunities[[#This Row],[Area Council]]</f>
        <v>Tanne-West</v>
      </c>
    </row>
    <row r="435" spans="1:5" x14ac:dyDescent="0.3">
      <c r="A435" s="3" t="s">
        <v>82</v>
      </c>
      <c r="B435" s="3" t="s">
        <v>50</v>
      </c>
      <c r="C435" s="3" t="s">
        <v>19</v>
      </c>
      <c r="D435" s="5" t="s">
        <v>496</v>
      </c>
      <c r="E435" s="3" t="str">
        <f>dtbCommunities[[#This Row],[Island]]&amp;"-"&amp;dtbCommunities[[#This Row],[Area Council]]</f>
        <v>Tanne-South West</v>
      </c>
    </row>
    <row r="436" spans="1:5" ht="15" customHeight="1" x14ac:dyDescent="0.3">
      <c r="A436" s="3" t="s">
        <v>82</v>
      </c>
      <c r="B436" s="3" t="s">
        <v>52</v>
      </c>
      <c r="C436" s="3" t="s">
        <v>73</v>
      </c>
      <c r="D436" s="3" t="s">
        <v>497</v>
      </c>
      <c r="E436" s="3" t="str">
        <f>dtbCommunities[[#This Row],[Island]]&amp;"-"&amp;dtbCommunities[[#This Row],[Area Council]]</f>
        <v>Anawi-Aniwe</v>
      </c>
    </row>
    <row r="437" spans="1:5" x14ac:dyDescent="0.3">
      <c r="A437" s="3" t="s">
        <v>82</v>
      </c>
      <c r="B437" s="3" t="s">
        <v>51</v>
      </c>
      <c r="C437" s="3" t="s">
        <v>72</v>
      </c>
      <c r="D437" s="3" t="s">
        <v>498</v>
      </c>
      <c r="E437" s="3" t="str">
        <f>dtbCommunities[[#This Row],[Island]]&amp;"-"&amp;dtbCommunities[[#This Row],[Area Council]]</f>
        <v>Fitene-Fotani</v>
      </c>
    </row>
    <row r="438" spans="1:5" x14ac:dyDescent="0.3">
      <c r="A438" s="3" t="s">
        <v>82</v>
      </c>
      <c r="B438" s="3" t="s">
        <v>50</v>
      </c>
      <c r="C438" s="3" t="s">
        <v>18</v>
      </c>
      <c r="D438" s="4" t="s">
        <v>11</v>
      </c>
      <c r="E438" s="3" t="str">
        <f>dtbCommunities[[#This Row],[Island]]&amp;"-"&amp;dtbCommunities[[#This Row],[Area Council]]</f>
        <v>Tanne-West</v>
      </c>
    </row>
    <row r="439" spans="1:5" x14ac:dyDescent="0.3">
      <c r="A439" s="3" t="s">
        <v>82</v>
      </c>
      <c r="B439" s="3" t="s">
        <v>50</v>
      </c>
      <c r="C439" s="3" t="s">
        <v>19</v>
      </c>
      <c r="D439" s="5" t="s">
        <v>499</v>
      </c>
      <c r="E439" s="3" t="str">
        <f>dtbCommunities[[#This Row],[Island]]&amp;"-"&amp;dtbCommunities[[#This Row],[Area Council]]</f>
        <v>Tanne-South West</v>
      </c>
    </row>
    <row r="440" spans="1:5" x14ac:dyDescent="0.3">
      <c r="A440" s="3" t="s">
        <v>82</v>
      </c>
      <c r="B440" s="3" t="s">
        <v>51</v>
      </c>
      <c r="C440" s="3" t="s">
        <v>72</v>
      </c>
      <c r="D440" s="3" t="s">
        <v>608</v>
      </c>
      <c r="E440" s="3" t="str">
        <f>dtbCommunities[[#This Row],[Island]]&amp;"-"&amp;dtbCommunities[[#This Row],[Area Council]]</f>
        <v>Fitene-Fotani</v>
      </c>
    </row>
    <row r="441" spans="1:5" x14ac:dyDescent="0.3">
      <c r="A441" s="3" t="s">
        <v>82</v>
      </c>
      <c r="B441" s="3" t="s">
        <v>50</v>
      </c>
      <c r="C441" s="3" t="s">
        <v>18</v>
      </c>
      <c r="D441" s="1" t="s">
        <v>500</v>
      </c>
      <c r="E441" s="3" t="str">
        <f>dtbCommunities[[#This Row],[Island]]&amp;"-"&amp;dtbCommunities[[#This Row],[Area Council]]</f>
        <v>Tanne-West</v>
      </c>
    </row>
    <row r="442" spans="1:5" x14ac:dyDescent="0.3">
      <c r="A442" s="3" t="s">
        <v>82</v>
      </c>
      <c r="B442" s="3" t="s">
        <v>50</v>
      </c>
      <c r="C442" s="3" t="s">
        <v>19</v>
      </c>
      <c r="D442" s="5" t="s">
        <v>501</v>
      </c>
      <c r="E442" s="3" t="str">
        <f>dtbCommunities[[#This Row],[Island]]&amp;"-"&amp;dtbCommunities[[#This Row],[Area Council]]</f>
        <v>Tanne-South West</v>
      </c>
    </row>
    <row r="443" spans="1:5" x14ac:dyDescent="0.3">
      <c r="A443" s="3" t="s">
        <v>82</v>
      </c>
      <c r="B443" s="3" t="s">
        <v>50</v>
      </c>
      <c r="C443" s="3" t="s">
        <v>18</v>
      </c>
      <c r="D443" s="4" t="s">
        <v>502</v>
      </c>
      <c r="E443" s="3" t="str">
        <f>dtbCommunities[[#This Row],[Island]]&amp;"-"&amp;dtbCommunities[[#This Row],[Area Council]]</f>
        <v>Tanne-West</v>
      </c>
    </row>
    <row r="444" spans="1:5" x14ac:dyDescent="0.3">
      <c r="A444" s="3" t="s">
        <v>82</v>
      </c>
      <c r="B444" s="3" t="s">
        <v>50</v>
      </c>
      <c r="C444" s="3" t="s">
        <v>18</v>
      </c>
      <c r="D444" s="5" t="s">
        <v>503</v>
      </c>
      <c r="E444" s="3" t="str">
        <f>dtbCommunities[[#This Row],[Island]]&amp;"-"&amp;dtbCommunities[[#This Row],[Area Council]]</f>
        <v>Tanne-West</v>
      </c>
    </row>
    <row r="445" spans="1:5" x14ac:dyDescent="0.3">
      <c r="A445" s="3" t="s">
        <v>82</v>
      </c>
      <c r="B445" s="3" t="s">
        <v>50</v>
      </c>
      <c r="C445" s="3" t="s">
        <v>21</v>
      </c>
      <c r="D445" s="5" t="s">
        <v>504</v>
      </c>
      <c r="E445" s="3" t="str">
        <f>dtbCommunities[[#This Row],[Island]]&amp;"-"&amp;dtbCommunities[[#This Row],[Area Council]]</f>
        <v>Tanne-East</v>
      </c>
    </row>
    <row r="446" spans="1:5" x14ac:dyDescent="0.3">
      <c r="A446" s="3" t="s">
        <v>82</v>
      </c>
      <c r="B446" s="3" t="s">
        <v>50</v>
      </c>
      <c r="C446" s="3" t="s">
        <v>14</v>
      </c>
      <c r="D446" s="3" t="s">
        <v>505</v>
      </c>
      <c r="E446" s="3" t="str">
        <f>dtbCommunities[[#This Row],[Island]]&amp;"-"&amp;dtbCommunities[[#This Row],[Area Council]]</f>
        <v>Tanne-South</v>
      </c>
    </row>
    <row r="447" spans="1:5" x14ac:dyDescent="0.3">
      <c r="A447" s="3" t="s">
        <v>82</v>
      </c>
      <c r="B447" s="3" t="s">
        <v>50</v>
      </c>
      <c r="C447" s="3" t="s">
        <v>14</v>
      </c>
      <c r="D447" s="4" t="s">
        <v>506</v>
      </c>
      <c r="E447" s="3" t="str">
        <f>dtbCommunities[[#This Row],[Island]]&amp;"-"&amp;dtbCommunities[[#This Row],[Area Council]]</f>
        <v>Tanne-South</v>
      </c>
    </row>
    <row r="448" spans="1:5" x14ac:dyDescent="0.3">
      <c r="A448" s="3" t="s">
        <v>82</v>
      </c>
      <c r="B448" s="3" t="s">
        <v>50</v>
      </c>
      <c r="C448" s="3" t="s">
        <v>14</v>
      </c>
      <c r="D448" s="4" t="s">
        <v>507</v>
      </c>
      <c r="E448" s="3" t="str">
        <f>dtbCommunities[[#This Row],[Island]]&amp;"-"&amp;dtbCommunities[[#This Row],[Area Council]]</f>
        <v>Tanne-South</v>
      </c>
    </row>
    <row r="449" spans="1:5" x14ac:dyDescent="0.3">
      <c r="A449" s="3" t="s">
        <v>82</v>
      </c>
      <c r="B449" s="3" t="s">
        <v>50</v>
      </c>
      <c r="C449" s="3" t="s">
        <v>19</v>
      </c>
      <c r="D449" s="4" t="s">
        <v>508</v>
      </c>
      <c r="E449" s="3" t="str">
        <f>dtbCommunities[[#This Row],[Island]]&amp;"-"&amp;dtbCommunities[[#This Row],[Area Council]]</f>
        <v>Tanne-South West</v>
      </c>
    </row>
    <row r="450" spans="1:5" x14ac:dyDescent="0.3">
      <c r="A450" s="3" t="s">
        <v>82</v>
      </c>
      <c r="B450" s="3" t="s">
        <v>50</v>
      </c>
      <c r="C450" s="3" t="s">
        <v>19</v>
      </c>
      <c r="D450" s="4" t="s">
        <v>509</v>
      </c>
      <c r="E450" s="3" t="str">
        <f>dtbCommunities[[#This Row],[Island]]&amp;"-"&amp;dtbCommunities[[#This Row],[Area Council]]</f>
        <v>Tanne-South West</v>
      </c>
    </row>
    <row r="451" spans="1:5" x14ac:dyDescent="0.3">
      <c r="A451" s="3" t="s">
        <v>82</v>
      </c>
      <c r="B451" s="3" t="s">
        <v>50</v>
      </c>
      <c r="C451" s="3" t="s">
        <v>18</v>
      </c>
      <c r="D451" s="4" t="s">
        <v>510</v>
      </c>
      <c r="E451" s="3" t="str">
        <f>dtbCommunities[[#This Row],[Island]]&amp;"-"&amp;dtbCommunities[[#This Row],[Area Council]]</f>
        <v>Tanne-West</v>
      </c>
    </row>
    <row r="452" spans="1:5" x14ac:dyDescent="0.3">
      <c r="A452" s="3" t="s">
        <v>82</v>
      </c>
      <c r="B452" s="3" t="s">
        <v>50</v>
      </c>
      <c r="C452" s="3" t="s">
        <v>20</v>
      </c>
      <c r="D452" s="4" t="s">
        <v>511</v>
      </c>
      <c r="E452" s="3" t="str">
        <f>dtbCommunities[[#This Row],[Island]]&amp;"-"&amp;dtbCommunities[[#This Row],[Area Council]]</f>
        <v>Tanne-North</v>
      </c>
    </row>
    <row r="453" spans="1:5" x14ac:dyDescent="0.3">
      <c r="A453" s="3" t="s">
        <v>82</v>
      </c>
      <c r="B453" s="3" t="s">
        <v>50</v>
      </c>
      <c r="C453" s="3" t="s">
        <v>18</v>
      </c>
      <c r="D453" s="3" t="s">
        <v>512</v>
      </c>
      <c r="E453" s="3" t="str">
        <f>dtbCommunities[[#This Row],[Island]]&amp;"-"&amp;dtbCommunities[[#This Row],[Area Council]]</f>
        <v>Tanne-West</v>
      </c>
    </row>
    <row r="454" spans="1:5" x14ac:dyDescent="0.3">
      <c r="A454" s="3" t="s">
        <v>82</v>
      </c>
      <c r="B454" s="3" t="s">
        <v>50</v>
      </c>
      <c r="C454" s="3" t="s">
        <v>18</v>
      </c>
      <c r="D454" s="3" t="s">
        <v>513</v>
      </c>
      <c r="E454" s="3" t="str">
        <f>dtbCommunities[[#This Row],[Island]]&amp;"-"&amp;dtbCommunities[[#This Row],[Area Council]]</f>
        <v>Tanne-West</v>
      </c>
    </row>
    <row r="455" spans="1:5" x14ac:dyDescent="0.3">
      <c r="A455" s="3" t="s">
        <v>82</v>
      </c>
      <c r="B455" s="3" t="s">
        <v>50</v>
      </c>
      <c r="C455" s="3" t="s">
        <v>18</v>
      </c>
      <c r="D455" s="5" t="s">
        <v>514</v>
      </c>
      <c r="E455" s="3" t="str">
        <f>dtbCommunities[[#This Row],[Island]]&amp;"-"&amp;dtbCommunities[[#This Row],[Area Council]]</f>
        <v>Tanne-West</v>
      </c>
    </row>
    <row r="456" spans="1:5" x14ac:dyDescent="0.3">
      <c r="A456" s="3" t="s">
        <v>82</v>
      </c>
      <c r="B456" s="3" t="s">
        <v>50</v>
      </c>
      <c r="C456" s="3" t="s">
        <v>21</v>
      </c>
      <c r="D456" s="4" t="s">
        <v>515</v>
      </c>
      <c r="E456" s="3" t="str">
        <f>dtbCommunities[[#This Row],[Island]]&amp;"-"&amp;dtbCommunities[[#This Row],[Area Council]]</f>
        <v>Tanne-East</v>
      </c>
    </row>
    <row r="457" spans="1:5" x14ac:dyDescent="0.3">
      <c r="A457" s="3" t="s">
        <v>82</v>
      </c>
      <c r="B457" s="3" t="s">
        <v>50</v>
      </c>
      <c r="C457" s="3" t="s">
        <v>18</v>
      </c>
      <c r="D457" s="5" t="s">
        <v>516</v>
      </c>
      <c r="E457" s="3" t="str">
        <f>dtbCommunities[[#This Row],[Island]]&amp;"-"&amp;dtbCommunities[[#This Row],[Area Council]]</f>
        <v>Tanne-West</v>
      </c>
    </row>
    <row r="458" spans="1:5" x14ac:dyDescent="0.3">
      <c r="A458" s="3" t="s">
        <v>82</v>
      </c>
      <c r="B458" s="3" t="s">
        <v>50</v>
      </c>
      <c r="C458" s="3" t="s">
        <v>18</v>
      </c>
      <c r="D458" s="5" t="s">
        <v>517</v>
      </c>
      <c r="E458" s="3" t="str">
        <f>dtbCommunities[[#This Row],[Island]]&amp;"-"&amp;dtbCommunities[[#This Row],[Area Council]]</f>
        <v>Tanne-West</v>
      </c>
    </row>
    <row r="459" spans="1:5" x14ac:dyDescent="0.3">
      <c r="A459" s="3" t="s">
        <v>82</v>
      </c>
      <c r="B459" s="3" t="s">
        <v>50</v>
      </c>
      <c r="C459" s="3" t="s">
        <v>18</v>
      </c>
      <c r="D459" s="3" t="s">
        <v>518</v>
      </c>
      <c r="E459" s="3" t="str">
        <f>dtbCommunities[[#This Row],[Island]]&amp;"-"&amp;dtbCommunities[[#This Row],[Area Council]]</f>
        <v>Tanne-West</v>
      </c>
    </row>
    <row r="460" spans="1:5" x14ac:dyDescent="0.3">
      <c r="A460" s="3" t="s">
        <v>82</v>
      </c>
      <c r="B460" s="3" t="s">
        <v>50</v>
      </c>
      <c r="C460" s="3" t="s">
        <v>20</v>
      </c>
      <c r="D460" s="3" t="s">
        <v>519</v>
      </c>
      <c r="E460" s="3" t="str">
        <f>dtbCommunities[[#This Row],[Island]]&amp;"-"&amp;dtbCommunities[[#This Row],[Area Council]]</f>
        <v>Tanne-North</v>
      </c>
    </row>
    <row r="461" spans="1:5" x14ac:dyDescent="0.3">
      <c r="A461" s="3" t="s">
        <v>82</v>
      </c>
      <c r="B461" s="3" t="s">
        <v>50</v>
      </c>
      <c r="C461" s="3" t="s">
        <v>20</v>
      </c>
      <c r="D461" s="5" t="s">
        <v>520</v>
      </c>
      <c r="E461" s="3" t="str">
        <f>dtbCommunities[[#This Row],[Island]]&amp;"-"&amp;dtbCommunities[[#This Row],[Area Council]]</f>
        <v>Tanne-North</v>
      </c>
    </row>
    <row r="462" spans="1:5" x14ac:dyDescent="0.3">
      <c r="A462" s="3" t="s">
        <v>82</v>
      </c>
      <c r="B462" s="3" t="s">
        <v>50</v>
      </c>
      <c r="C462" s="3" t="s">
        <v>20</v>
      </c>
      <c r="D462" s="3" t="s">
        <v>521</v>
      </c>
      <c r="E462" s="3" t="str">
        <f>dtbCommunities[[#This Row],[Island]]&amp;"-"&amp;dtbCommunities[[#This Row],[Area Council]]</f>
        <v>Tanne-North</v>
      </c>
    </row>
    <row r="463" spans="1:5" x14ac:dyDescent="0.3">
      <c r="A463" s="3" t="s">
        <v>82</v>
      </c>
      <c r="B463" s="3" t="s">
        <v>50</v>
      </c>
      <c r="C463" s="3" t="s">
        <v>20</v>
      </c>
      <c r="D463" s="5" t="s">
        <v>522</v>
      </c>
      <c r="E463" s="3" t="str">
        <f>dtbCommunities[[#This Row],[Island]]&amp;"-"&amp;dtbCommunities[[#This Row],[Area Council]]</f>
        <v>Tanne-North</v>
      </c>
    </row>
    <row r="464" spans="1:5" x14ac:dyDescent="0.3">
      <c r="A464" s="3" t="s">
        <v>82</v>
      </c>
      <c r="B464" s="3" t="s">
        <v>50</v>
      </c>
      <c r="C464" s="3" t="s">
        <v>18</v>
      </c>
      <c r="D464" s="5" t="s">
        <v>523</v>
      </c>
      <c r="E464" s="3" t="str">
        <f>dtbCommunities[[#This Row],[Island]]&amp;"-"&amp;dtbCommunities[[#This Row],[Area Council]]</f>
        <v>Tanne-West</v>
      </c>
    </row>
    <row r="465" spans="1:5" x14ac:dyDescent="0.3">
      <c r="A465" s="3" t="s">
        <v>82</v>
      </c>
      <c r="B465" s="3" t="s">
        <v>50</v>
      </c>
      <c r="C465" s="3" t="s">
        <v>21</v>
      </c>
      <c r="D465" s="4" t="s">
        <v>524</v>
      </c>
      <c r="E465" s="3" t="str">
        <f>dtbCommunities[[#This Row],[Island]]&amp;"-"&amp;dtbCommunities[[#This Row],[Area Council]]</f>
        <v>Tanne-East</v>
      </c>
    </row>
    <row r="466" spans="1:5" x14ac:dyDescent="0.3">
      <c r="A466" s="3" t="s">
        <v>82</v>
      </c>
      <c r="B466" s="3" t="s">
        <v>50</v>
      </c>
      <c r="C466" s="3" t="s">
        <v>14</v>
      </c>
      <c r="D466" s="5" t="s">
        <v>525</v>
      </c>
      <c r="E466" s="3" t="str">
        <f>dtbCommunities[[#This Row],[Island]]&amp;"-"&amp;dtbCommunities[[#This Row],[Area Council]]</f>
        <v>Tanne-South</v>
      </c>
    </row>
    <row r="467" spans="1:5" x14ac:dyDescent="0.3">
      <c r="A467" s="3" t="s">
        <v>82</v>
      </c>
      <c r="B467" s="3" t="s">
        <v>50</v>
      </c>
      <c r="C467" s="3" t="s">
        <v>19</v>
      </c>
      <c r="D467" s="4" t="s">
        <v>526</v>
      </c>
      <c r="E467" s="3" t="str">
        <f>dtbCommunities[[#This Row],[Island]]&amp;"-"&amp;dtbCommunities[[#This Row],[Area Council]]</f>
        <v>Tanne-South West</v>
      </c>
    </row>
    <row r="468" spans="1:5" x14ac:dyDescent="0.3">
      <c r="A468" s="3" t="s">
        <v>82</v>
      </c>
      <c r="B468" s="3" t="s">
        <v>50</v>
      </c>
      <c r="C468" s="3" t="s">
        <v>18</v>
      </c>
      <c r="D468" s="5" t="s">
        <v>527</v>
      </c>
      <c r="E468" s="3" t="str">
        <f>dtbCommunities[[#This Row],[Island]]&amp;"-"&amp;dtbCommunities[[#This Row],[Area Council]]</f>
        <v>Tanne-West</v>
      </c>
    </row>
    <row r="469" spans="1:5" x14ac:dyDescent="0.3">
      <c r="A469" s="3" t="s">
        <v>82</v>
      </c>
      <c r="B469" s="3" t="s">
        <v>50</v>
      </c>
      <c r="C469" s="3" t="s">
        <v>19</v>
      </c>
      <c r="D469" s="4" t="s">
        <v>528</v>
      </c>
      <c r="E469" s="3" t="str">
        <f>dtbCommunities[[#This Row],[Island]]&amp;"-"&amp;dtbCommunities[[#This Row],[Area Council]]</f>
        <v>Tanne-South West</v>
      </c>
    </row>
    <row r="470" spans="1:5" x14ac:dyDescent="0.3">
      <c r="A470" s="3" t="s">
        <v>82</v>
      </c>
      <c r="B470" s="3" t="s">
        <v>87</v>
      </c>
      <c r="C470" s="3" t="s">
        <v>20</v>
      </c>
      <c r="D470" s="3" t="s">
        <v>529</v>
      </c>
      <c r="E470" s="3" t="str">
        <f>dtbCommunities[[#This Row],[Island]]&amp;"-"&amp;dtbCommunities[[#This Row],[Area Council]]</f>
        <v>Errormenge-North</v>
      </c>
    </row>
    <row r="471" spans="1:5" x14ac:dyDescent="0.3">
      <c r="A471" s="3" t="s">
        <v>82</v>
      </c>
      <c r="B471" s="3" t="s">
        <v>50</v>
      </c>
      <c r="C471" s="3" t="s">
        <v>21</v>
      </c>
      <c r="D471" s="5" t="s">
        <v>530</v>
      </c>
      <c r="E471" s="3" t="str">
        <f>dtbCommunities[[#This Row],[Island]]&amp;"-"&amp;dtbCommunities[[#This Row],[Area Council]]</f>
        <v>Tanne-East</v>
      </c>
    </row>
    <row r="472" spans="1:5" x14ac:dyDescent="0.3">
      <c r="A472" s="3" t="s">
        <v>82</v>
      </c>
      <c r="B472" s="3" t="s">
        <v>87</v>
      </c>
      <c r="C472" s="3" t="s">
        <v>20</v>
      </c>
      <c r="D472" s="4" t="s">
        <v>531</v>
      </c>
      <c r="E472" s="3" t="str">
        <f>dtbCommunities[[#This Row],[Island]]&amp;"-"&amp;dtbCommunities[[#This Row],[Area Council]]</f>
        <v>Errormenge-North</v>
      </c>
    </row>
    <row r="473" spans="1:5" x14ac:dyDescent="0.3">
      <c r="A473" s="3" t="s">
        <v>82</v>
      </c>
      <c r="B473" s="3" t="s">
        <v>50</v>
      </c>
      <c r="C473" s="3" t="s">
        <v>21</v>
      </c>
      <c r="D473" s="5" t="s">
        <v>532</v>
      </c>
      <c r="E473" s="3" t="str">
        <f>dtbCommunities[[#This Row],[Island]]&amp;"-"&amp;dtbCommunities[[#This Row],[Area Council]]</f>
        <v>Tanne-East</v>
      </c>
    </row>
    <row r="474" spans="1:5" x14ac:dyDescent="0.3">
      <c r="A474" s="3" t="s">
        <v>82</v>
      </c>
      <c r="B474" s="3" t="s">
        <v>50</v>
      </c>
      <c r="C474" s="3" t="s">
        <v>21</v>
      </c>
      <c r="D474" s="4" t="s">
        <v>533</v>
      </c>
      <c r="E474" s="3" t="str">
        <f>dtbCommunities[[#This Row],[Island]]&amp;"-"&amp;dtbCommunities[[#This Row],[Area Council]]</f>
        <v>Tanne-East</v>
      </c>
    </row>
    <row r="475" spans="1:5" x14ac:dyDescent="0.3">
      <c r="A475" s="3" t="s">
        <v>82</v>
      </c>
      <c r="B475" s="3" t="s">
        <v>51</v>
      </c>
      <c r="C475" s="3" t="s">
        <v>72</v>
      </c>
      <c r="D475" s="5" t="s">
        <v>534</v>
      </c>
      <c r="E475" s="3" t="str">
        <f>dtbCommunities[[#This Row],[Island]]&amp;"-"&amp;dtbCommunities[[#This Row],[Area Council]]</f>
        <v>Fitene-Fotani</v>
      </c>
    </row>
    <row r="476" spans="1:5" x14ac:dyDescent="0.3">
      <c r="A476" s="3" t="s">
        <v>82</v>
      </c>
      <c r="B476" s="3" t="s">
        <v>87</v>
      </c>
      <c r="C476" s="3" t="s">
        <v>20</v>
      </c>
      <c r="D476" s="4" t="s">
        <v>535</v>
      </c>
      <c r="E476" s="3" t="str">
        <f>dtbCommunities[[#This Row],[Island]]&amp;"-"&amp;dtbCommunities[[#This Row],[Area Council]]</f>
        <v>Errormenge-North</v>
      </c>
    </row>
    <row r="477" spans="1:5" x14ac:dyDescent="0.3">
      <c r="A477" s="3" t="s">
        <v>82</v>
      </c>
      <c r="B477" s="3" t="s">
        <v>87</v>
      </c>
      <c r="C477" s="3" t="s">
        <v>20</v>
      </c>
      <c r="D477" s="3" t="s">
        <v>609</v>
      </c>
      <c r="E477" s="3" t="str">
        <f>dtbCommunities[[#This Row],[Island]]&amp;"-"&amp;dtbCommunities[[#This Row],[Area Council]]</f>
        <v>Errormenge-North</v>
      </c>
    </row>
    <row r="478" spans="1:5" x14ac:dyDescent="0.3">
      <c r="A478" s="3" t="s">
        <v>82</v>
      </c>
      <c r="B478" s="3" t="s">
        <v>49</v>
      </c>
      <c r="C478" s="3" t="s">
        <v>71</v>
      </c>
      <c r="D478" s="4" t="s">
        <v>536</v>
      </c>
      <c r="E478" s="3" t="str">
        <f>dtbCommunities[[#This Row],[Island]]&amp;"-"&amp;dtbCommunities[[#This Row],[Area Council]]</f>
        <v>Anoetyam-Anoatyom</v>
      </c>
    </row>
    <row r="479" spans="1:5" x14ac:dyDescent="0.3">
      <c r="A479" s="3" t="s">
        <v>82</v>
      </c>
      <c r="B479" s="3" t="s">
        <v>49</v>
      </c>
      <c r="C479" s="3" t="s">
        <v>71</v>
      </c>
      <c r="D479" s="3" t="s">
        <v>537</v>
      </c>
      <c r="E479" s="3" t="str">
        <f>dtbCommunities[[#This Row],[Island]]&amp;"-"&amp;dtbCommunities[[#This Row],[Area Council]]</f>
        <v>Anoetyam-Anoatyom</v>
      </c>
    </row>
    <row r="480" spans="1:5" x14ac:dyDescent="0.3">
      <c r="A480" s="3" t="s">
        <v>82</v>
      </c>
      <c r="B480" s="3" t="s">
        <v>50</v>
      </c>
      <c r="C480" s="3" t="s">
        <v>18</v>
      </c>
      <c r="D480" s="4" t="s">
        <v>538</v>
      </c>
      <c r="E480" s="3" t="str">
        <f>dtbCommunities[[#This Row],[Island]]&amp;"-"&amp;dtbCommunities[[#This Row],[Area Council]]</f>
        <v>Tanne-West</v>
      </c>
    </row>
    <row r="481" spans="1:5" x14ac:dyDescent="0.3">
      <c r="A481" s="3" t="s">
        <v>82</v>
      </c>
      <c r="B481" s="3" t="s">
        <v>50</v>
      </c>
      <c r="C481" s="3" t="s">
        <v>19</v>
      </c>
      <c r="D481" s="1" t="s">
        <v>539</v>
      </c>
      <c r="E481" s="3" t="str">
        <f>dtbCommunities[[#This Row],[Island]]&amp;"-"&amp;dtbCommunities[[#This Row],[Area Council]]</f>
        <v>Tanne-South West</v>
      </c>
    </row>
    <row r="482" spans="1:5" x14ac:dyDescent="0.3">
      <c r="A482" s="3" t="s">
        <v>82</v>
      </c>
      <c r="B482" s="3" t="s">
        <v>50</v>
      </c>
      <c r="C482" s="3" t="s">
        <v>19</v>
      </c>
      <c r="D482" s="4" t="s">
        <v>540</v>
      </c>
      <c r="E482" s="3" t="str">
        <f>dtbCommunities[[#This Row],[Island]]&amp;"-"&amp;dtbCommunities[[#This Row],[Area Council]]</f>
        <v>Tanne-South West</v>
      </c>
    </row>
    <row r="483" spans="1:5" x14ac:dyDescent="0.3">
      <c r="A483" s="3" t="s">
        <v>82</v>
      </c>
      <c r="B483" s="3" t="s">
        <v>50</v>
      </c>
      <c r="C483" s="3" t="s">
        <v>14</v>
      </c>
      <c r="D483" s="4" t="s">
        <v>541</v>
      </c>
      <c r="E483" s="3" t="str">
        <f>dtbCommunities[[#This Row],[Island]]&amp;"-"&amp;dtbCommunities[[#This Row],[Area Council]]</f>
        <v>Tanne-South</v>
      </c>
    </row>
    <row r="484" spans="1:5" x14ac:dyDescent="0.3">
      <c r="A484" s="3" t="s">
        <v>82</v>
      </c>
      <c r="B484" s="3" t="s">
        <v>50</v>
      </c>
      <c r="C484" s="3" t="s">
        <v>19</v>
      </c>
      <c r="D484" s="4" t="s">
        <v>542</v>
      </c>
      <c r="E484" s="3" t="str">
        <f>dtbCommunities[[#This Row],[Island]]&amp;"-"&amp;dtbCommunities[[#This Row],[Area Council]]</f>
        <v>Tanne-South West</v>
      </c>
    </row>
    <row r="485" spans="1:5" x14ac:dyDescent="0.3">
      <c r="A485" s="3" t="s">
        <v>83</v>
      </c>
      <c r="B485" s="3" t="s">
        <v>53</v>
      </c>
      <c r="C485" s="3" t="s">
        <v>74</v>
      </c>
      <c r="D485" s="4" t="s">
        <v>543</v>
      </c>
      <c r="E485" s="3" t="str">
        <f>dtbCommunities[[#This Row],[Island]]&amp;"-"&amp;dtbCommunities[[#This Row],[Area Council]]</f>
        <v>Heu-Turrus</v>
      </c>
    </row>
    <row r="486" spans="1:5" x14ac:dyDescent="0.3">
      <c r="A486" s="3" t="s">
        <v>83</v>
      </c>
      <c r="B486" s="3" t="s">
        <v>53</v>
      </c>
      <c r="C486" s="3" t="s">
        <v>74</v>
      </c>
      <c r="D486" s="2" t="s">
        <v>544</v>
      </c>
      <c r="E486" s="3" t="str">
        <f>dtbCommunities[[#This Row],[Island]]&amp;"-"&amp;dtbCommunities[[#This Row],[Area Council]]</f>
        <v>Heu-Turrus</v>
      </c>
    </row>
    <row r="487" spans="1:5" x14ac:dyDescent="0.3">
      <c r="A487" s="3" t="s">
        <v>83</v>
      </c>
      <c r="B487" s="3" t="s">
        <v>53</v>
      </c>
      <c r="C487" s="3" t="s">
        <v>74</v>
      </c>
      <c r="D487" s="2" t="s">
        <v>545</v>
      </c>
      <c r="E487" s="3" t="str">
        <f>dtbCommunities[[#This Row],[Island]]&amp;"-"&amp;dtbCommunities[[#This Row],[Area Council]]</f>
        <v>Heu-Turrus</v>
      </c>
    </row>
    <row r="488" spans="1:5" x14ac:dyDescent="0.3">
      <c r="A488" s="3" t="s">
        <v>83</v>
      </c>
      <c r="B488" s="3" t="s">
        <v>53</v>
      </c>
      <c r="C488" s="3" t="s">
        <v>74</v>
      </c>
      <c r="D488" s="2" t="s">
        <v>546</v>
      </c>
      <c r="E488" s="3" t="str">
        <f>dtbCommunities[[#This Row],[Island]]&amp;"-"&amp;dtbCommunities[[#This Row],[Area Council]]</f>
        <v>Heu-Turrus</v>
      </c>
    </row>
    <row r="489" spans="1:5" x14ac:dyDescent="0.3">
      <c r="A489" s="3" t="s">
        <v>83</v>
      </c>
      <c r="B489" s="3" t="s">
        <v>34</v>
      </c>
      <c r="C489" s="3" t="s">
        <v>74</v>
      </c>
      <c r="D489" s="2" t="s">
        <v>547</v>
      </c>
      <c r="E489" s="3" t="str">
        <f>dtbCommunities[[#This Row],[Island]]&amp;"-"&amp;dtbCommunities[[#This Row],[Area Council]]</f>
        <v>Lih-Turrus</v>
      </c>
    </row>
    <row r="490" spans="1:5" x14ac:dyDescent="0.3">
      <c r="A490" s="3" t="s">
        <v>83</v>
      </c>
      <c r="B490" s="3" t="s">
        <v>34</v>
      </c>
      <c r="C490" s="3" t="s">
        <v>74</v>
      </c>
      <c r="D490" s="2" t="s">
        <v>548</v>
      </c>
      <c r="E490" s="3" t="str">
        <f>dtbCommunities[[#This Row],[Island]]&amp;"-"&amp;dtbCommunities[[#This Row],[Area Council]]</f>
        <v>Lih-Turrus</v>
      </c>
    </row>
    <row r="491" spans="1:5" x14ac:dyDescent="0.3">
      <c r="A491" s="3" t="s">
        <v>83</v>
      </c>
      <c r="B491" s="3" t="s">
        <v>88</v>
      </c>
      <c r="C491" s="3" t="s">
        <v>74</v>
      </c>
      <c r="D491" s="2" t="s">
        <v>549</v>
      </c>
      <c r="E491" s="3" t="str">
        <f>dtbCommunities[[#This Row],[Island]]&amp;"-"&amp;dtbCommunities[[#This Row],[Area Council]]</f>
        <v>Tongue-Turrus</v>
      </c>
    </row>
    <row r="492" spans="1:5" x14ac:dyDescent="0.3">
      <c r="A492" s="3" t="s">
        <v>83</v>
      </c>
      <c r="B492" s="3" t="s">
        <v>54</v>
      </c>
      <c r="C492" s="3" t="s">
        <v>74</v>
      </c>
      <c r="D492" s="2" t="s">
        <v>550</v>
      </c>
      <c r="E492" s="3" t="str">
        <f>dtbCommunities[[#This Row],[Island]]&amp;"-"&amp;dtbCommunities[[#This Row],[Area Council]]</f>
        <v>Tiga-Turrus</v>
      </c>
    </row>
    <row r="493" spans="1:5" x14ac:dyDescent="0.3">
      <c r="A493" s="3" t="s">
        <v>83</v>
      </c>
      <c r="B493" s="3" t="s">
        <v>54</v>
      </c>
      <c r="C493" s="3" t="s">
        <v>74</v>
      </c>
      <c r="D493" s="2" t="s">
        <v>551</v>
      </c>
      <c r="E493" s="3" t="str">
        <f>dtbCommunities[[#This Row],[Island]]&amp;"-"&amp;dtbCommunities[[#This Row],[Area Council]]</f>
        <v>Tiga-Turrus</v>
      </c>
    </row>
    <row r="494" spans="1:5" x14ac:dyDescent="0.3">
      <c r="A494" s="3" t="s">
        <v>83</v>
      </c>
      <c r="B494" s="3" t="s">
        <v>55</v>
      </c>
      <c r="C494" s="3" t="s">
        <v>75</v>
      </c>
      <c r="D494" s="2" t="s">
        <v>552</v>
      </c>
      <c r="E494" s="3" t="str">
        <f>dtbCommunities[[#This Row],[Island]]&amp;"-"&amp;dtbCommunities[[#This Row],[Area Council]]</f>
        <v>Uropiruparu-Uropiropere</v>
      </c>
    </row>
    <row r="495" spans="1:5" x14ac:dyDescent="0.3">
      <c r="A495" s="3" t="s">
        <v>83</v>
      </c>
      <c r="B495" s="3" t="s">
        <v>55</v>
      </c>
      <c r="C495" s="3" t="s">
        <v>75</v>
      </c>
      <c r="D495" s="2" t="s">
        <v>553</v>
      </c>
      <c r="E495" s="3" t="str">
        <f>dtbCommunities[[#This Row],[Island]]&amp;"-"&amp;dtbCommunities[[#This Row],[Area Council]]</f>
        <v>Uropiruparu-Uropiropere</v>
      </c>
    </row>
    <row r="496" spans="1:5" x14ac:dyDescent="0.3">
      <c r="A496" s="3" t="s">
        <v>83</v>
      </c>
      <c r="B496" s="3" t="s">
        <v>89</v>
      </c>
      <c r="C496" s="3" t="s">
        <v>76</v>
      </c>
      <c r="D496" s="2" t="s">
        <v>554</v>
      </c>
      <c r="E496" s="3" t="str">
        <f>dtbCommunities[[#This Row],[Island]]&amp;"-"&amp;dtbCommunities[[#This Row],[Area Council]]</f>
        <v>Cote Slavi-Mitu lavo</v>
      </c>
    </row>
    <row r="497" spans="1:5" x14ac:dyDescent="0.3">
      <c r="A497" s="3" t="s">
        <v>83</v>
      </c>
      <c r="B497" s="3" t="s">
        <v>89</v>
      </c>
      <c r="C497" s="3" t="s">
        <v>76</v>
      </c>
      <c r="D497" s="2" t="s">
        <v>555</v>
      </c>
      <c r="E497" s="3" t="str">
        <f>dtbCommunities[[#This Row],[Island]]&amp;"-"&amp;dtbCommunities[[#This Row],[Area Council]]</f>
        <v>Cote Slavi-Mitu lavo</v>
      </c>
    </row>
    <row r="498" spans="1:5" x14ac:dyDescent="0.3">
      <c r="A498" s="3" t="s">
        <v>83</v>
      </c>
      <c r="B498" s="3" t="s">
        <v>89</v>
      </c>
      <c r="C498" s="3" t="s">
        <v>76</v>
      </c>
      <c r="D498" s="2" t="s">
        <v>556</v>
      </c>
      <c r="E498" s="3" t="str">
        <f>dtbCommunities[[#This Row],[Island]]&amp;"-"&amp;dtbCommunities[[#This Row],[Area Council]]</f>
        <v>Cote Slavi-Mitu lavo</v>
      </c>
    </row>
    <row r="499" spans="1:5" x14ac:dyDescent="0.3">
      <c r="A499" s="3" t="s">
        <v>83</v>
      </c>
      <c r="B499" s="3" t="s">
        <v>89</v>
      </c>
      <c r="C499" s="3" t="s">
        <v>76</v>
      </c>
      <c r="D499" s="2" t="s">
        <v>557</v>
      </c>
      <c r="E499" s="3" t="str">
        <f>dtbCommunities[[#This Row],[Island]]&amp;"-"&amp;dtbCommunities[[#This Row],[Area Council]]</f>
        <v>Cote Slavi-Mitu lavo</v>
      </c>
    </row>
    <row r="500" spans="1:5" x14ac:dyDescent="0.3">
      <c r="A500" s="3" t="s">
        <v>83</v>
      </c>
      <c r="B500" s="3" t="s">
        <v>89</v>
      </c>
      <c r="C500" s="3" t="s">
        <v>76</v>
      </c>
      <c r="D500" s="2" t="s">
        <v>558</v>
      </c>
      <c r="E500" s="3" t="str">
        <f>dtbCommunities[[#This Row],[Island]]&amp;"-"&amp;dtbCommunities[[#This Row],[Area Council]]</f>
        <v>Cote Slavi-Mitu lavo</v>
      </c>
    </row>
    <row r="501" spans="1:5" x14ac:dyDescent="0.3">
      <c r="A501" s="3" t="s">
        <v>83</v>
      </c>
      <c r="B501" s="3" t="s">
        <v>89</v>
      </c>
      <c r="C501" s="3" t="s">
        <v>76</v>
      </c>
      <c r="D501" s="2" t="s">
        <v>559</v>
      </c>
      <c r="E501" s="3" t="str">
        <f>dtbCommunities[[#This Row],[Island]]&amp;"-"&amp;dtbCommunities[[#This Row],[Area Council]]</f>
        <v>Cote Slavi-Mitu lavo</v>
      </c>
    </row>
    <row r="502" spans="1:5" x14ac:dyDescent="0.3">
      <c r="A502" s="3" t="s">
        <v>83</v>
      </c>
      <c r="B502" s="3" t="s">
        <v>77</v>
      </c>
      <c r="C502" s="3" t="s">
        <v>77</v>
      </c>
      <c r="D502" s="2" t="s">
        <v>560</v>
      </c>
      <c r="E502" s="3" t="str">
        <f>dtbCommunities[[#This Row],[Island]]&amp;"-"&amp;dtbCommunities[[#This Row],[Area Council]]</f>
        <v xml:space="preserve">Meta -Meta </v>
      </c>
    </row>
    <row r="503" spans="1:5" x14ac:dyDescent="0.3">
      <c r="A503" s="3" t="s">
        <v>83</v>
      </c>
      <c r="B503" s="3" t="s">
        <v>77</v>
      </c>
      <c r="C503" s="3" t="s">
        <v>77</v>
      </c>
      <c r="D503" s="2" t="s">
        <v>413</v>
      </c>
      <c r="E503" s="3" t="str">
        <f>dtbCommunities[[#This Row],[Island]]&amp;"-"&amp;dtbCommunities[[#This Row],[Area Council]]</f>
        <v xml:space="preserve">Meta -Meta </v>
      </c>
    </row>
    <row r="504" spans="1:5" x14ac:dyDescent="0.3">
      <c r="A504" s="3" t="s">
        <v>83</v>
      </c>
      <c r="B504" s="3" t="s">
        <v>77</v>
      </c>
      <c r="C504" s="3" t="s">
        <v>77</v>
      </c>
      <c r="D504" s="2" t="s">
        <v>561</v>
      </c>
      <c r="E504" s="3" t="str">
        <f>dtbCommunities[[#This Row],[Island]]&amp;"-"&amp;dtbCommunities[[#This Row],[Area Council]]</f>
        <v xml:space="preserve">Meta -Meta </v>
      </c>
    </row>
    <row r="505" spans="1:5" x14ac:dyDescent="0.3">
      <c r="A505" s="3" t="s">
        <v>83</v>
      </c>
      <c r="B505" s="3" t="s">
        <v>77</v>
      </c>
      <c r="C505" s="3" t="s">
        <v>77</v>
      </c>
      <c r="D505" s="2" t="s">
        <v>562</v>
      </c>
      <c r="E505" s="3" t="str">
        <f>dtbCommunities[[#This Row],[Island]]&amp;"-"&amp;dtbCommunities[[#This Row],[Area Council]]</f>
        <v xml:space="preserve">Meta -Meta </v>
      </c>
    </row>
    <row r="506" spans="1:5" x14ac:dyDescent="0.3">
      <c r="A506" s="3" t="s">
        <v>83</v>
      </c>
      <c r="B506" s="3" t="s">
        <v>77</v>
      </c>
      <c r="C506" s="3" t="s">
        <v>77</v>
      </c>
      <c r="D506" s="2" t="s">
        <v>563</v>
      </c>
      <c r="E506" s="3" t="str">
        <f>dtbCommunities[[#This Row],[Island]]&amp;"-"&amp;dtbCommunities[[#This Row],[Area Council]]</f>
        <v xml:space="preserve">Meta -Meta </v>
      </c>
    </row>
    <row r="507" spans="1:5" x14ac:dyDescent="0.3">
      <c r="A507" s="3" t="s">
        <v>83</v>
      </c>
      <c r="B507" s="3" t="s">
        <v>90</v>
      </c>
      <c r="C507" s="3" t="s">
        <v>21</v>
      </c>
      <c r="D507" s="2" t="s">
        <v>564</v>
      </c>
      <c r="E507" s="3" t="str">
        <f>dtbCommunities[[#This Row],[Island]]&amp;"-"&amp;dtbCommunities[[#This Row],[Area Council]]</f>
        <v>Gases-East</v>
      </c>
    </row>
    <row r="508" spans="1:5" x14ac:dyDescent="0.3">
      <c r="A508" s="3" t="s">
        <v>83</v>
      </c>
      <c r="B508" s="3" t="s">
        <v>90</v>
      </c>
      <c r="C508" s="3" t="s">
        <v>21</v>
      </c>
      <c r="D508" s="2" t="s">
        <v>565</v>
      </c>
      <c r="E508" s="3" t="str">
        <f>dtbCommunities[[#This Row],[Island]]&amp;"-"&amp;dtbCommunities[[#This Row],[Area Council]]</f>
        <v>Gases-East</v>
      </c>
    </row>
    <row r="509" spans="1:5" x14ac:dyDescent="0.3">
      <c r="A509" s="3" t="s">
        <v>83</v>
      </c>
      <c r="B509" s="3" t="s">
        <v>90</v>
      </c>
      <c r="C509" s="3" t="s">
        <v>21</v>
      </c>
      <c r="D509" s="2" t="s">
        <v>566</v>
      </c>
      <c r="E509" s="3" t="str">
        <f>dtbCommunities[[#This Row],[Island]]&amp;"-"&amp;dtbCommunities[[#This Row],[Area Council]]</f>
        <v>Gases-East</v>
      </c>
    </row>
    <row r="510" spans="1:5" x14ac:dyDescent="0.3">
      <c r="A510" s="3" t="s">
        <v>83</v>
      </c>
      <c r="B510" s="3" t="s">
        <v>90</v>
      </c>
      <c r="C510" s="3" t="s">
        <v>21</v>
      </c>
      <c r="D510" s="2" t="s">
        <v>567</v>
      </c>
      <c r="E510" s="3" t="str">
        <f>dtbCommunities[[#This Row],[Island]]&amp;"-"&amp;dtbCommunities[[#This Row],[Area Council]]</f>
        <v>Gases-East</v>
      </c>
    </row>
    <row r="511" spans="1:5" x14ac:dyDescent="0.3">
      <c r="A511" s="3" t="s">
        <v>83</v>
      </c>
      <c r="B511" s="3" t="s">
        <v>90</v>
      </c>
      <c r="C511" s="3" t="s">
        <v>21</v>
      </c>
      <c r="D511" s="2" t="s">
        <v>568</v>
      </c>
      <c r="E511" s="3" t="str">
        <f>dtbCommunities[[#This Row],[Island]]&amp;"-"&amp;dtbCommunities[[#This Row],[Area Council]]</f>
        <v>Gases-East</v>
      </c>
    </row>
    <row r="512" spans="1:5" x14ac:dyDescent="0.3">
      <c r="A512" s="3" t="s">
        <v>83</v>
      </c>
      <c r="B512" s="3" t="s">
        <v>90</v>
      </c>
      <c r="C512" s="3" t="s">
        <v>21</v>
      </c>
      <c r="D512" s="2" t="s">
        <v>569</v>
      </c>
      <c r="E512" s="3" t="str">
        <f>dtbCommunities[[#This Row],[Island]]&amp;"-"&amp;dtbCommunities[[#This Row],[Area Council]]</f>
        <v>Gases-East</v>
      </c>
    </row>
    <row r="513" spans="1:5" x14ac:dyDescent="0.3">
      <c r="A513" s="3" t="s">
        <v>83</v>
      </c>
      <c r="B513" s="3" t="s">
        <v>90</v>
      </c>
      <c r="C513" s="3" t="s">
        <v>21</v>
      </c>
      <c r="D513" s="2" t="s">
        <v>570</v>
      </c>
      <c r="E513" s="3" t="str">
        <f>dtbCommunities[[#This Row],[Island]]&amp;"-"&amp;dtbCommunities[[#This Row],[Area Council]]</f>
        <v>Gases-East</v>
      </c>
    </row>
    <row r="514" spans="1:5" x14ac:dyDescent="0.3">
      <c r="A514" s="3" t="s">
        <v>83</v>
      </c>
      <c r="B514" s="3" t="s">
        <v>90</v>
      </c>
      <c r="C514" s="3" t="s">
        <v>21</v>
      </c>
      <c r="D514" s="2" t="s">
        <v>571</v>
      </c>
      <c r="E514" s="3" t="str">
        <f>dtbCommunities[[#This Row],[Island]]&amp;"-"&amp;dtbCommunities[[#This Row],[Area Council]]</f>
        <v>Gases-East</v>
      </c>
    </row>
    <row r="515" spans="1:5" x14ac:dyDescent="0.3">
      <c r="A515" s="3" t="s">
        <v>83</v>
      </c>
      <c r="B515" s="3" t="s">
        <v>90</v>
      </c>
      <c r="C515" s="3" t="s">
        <v>21</v>
      </c>
      <c r="D515" s="2" t="s">
        <v>572</v>
      </c>
      <c r="E515" s="3" t="str">
        <f>dtbCommunities[[#This Row],[Island]]&amp;"-"&amp;dtbCommunities[[#This Row],[Area Council]]</f>
        <v>Gases-East</v>
      </c>
    </row>
    <row r="516" spans="1:5" x14ac:dyDescent="0.3">
      <c r="A516" s="3" t="s">
        <v>83</v>
      </c>
      <c r="B516" s="3" t="s">
        <v>90</v>
      </c>
      <c r="C516" s="3" t="s">
        <v>21</v>
      </c>
      <c r="D516" s="2" t="s">
        <v>573</v>
      </c>
      <c r="E516" s="3" t="str">
        <f>dtbCommunities[[#This Row],[Island]]&amp;"-"&amp;dtbCommunities[[#This Row],[Area Council]]</f>
        <v>Gases-East</v>
      </c>
    </row>
    <row r="517" spans="1:5" x14ac:dyDescent="0.3">
      <c r="A517" s="3" t="s">
        <v>83</v>
      </c>
      <c r="B517" s="3" t="s">
        <v>90</v>
      </c>
      <c r="C517" s="3" t="s">
        <v>22</v>
      </c>
      <c r="D517" s="2" t="s">
        <v>574</v>
      </c>
      <c r="E517" s="3" t="str">
        <f>dtbCommunities[[#This Row],[Island]]&amp;"-"&amp;dtbCommunities[[#This Row],[Area Council]]</f>
        <v xml:space="preserve">Gases-West </v>
      </c>
    </row>
    <row r="518" spans="1:5" x14ac:dyDescent="0.3">
      <c r="A518" s="3" t="s">
        <v>83</v>
      </c>
      <c r="B518" s="3" t="s">
        <v>90</v>
      </c>
      <c r="C518" s="3" t="s">
        <v>22</v>
      </c>
      <c r="D518" s="2" t="s">
        <v>575</v>
      </c>
      <c r="E518" s="3" t="str">
        <f>dtbCommunities[[#This Row],[Island]]&amp;"-"&amp;dtbCommunities[[#This Row],[Area Council]]</f>
        <v xml:space="preserve">Gases-West </v>
      </c>
    </row>
    <row r="519" spans="1:5" x14ac:dyDescent="0.3">
      <c r="A519" s="3" t="s">
        <v>83</v>
      </c>
      <c r="B519" s="3" t="s">
        <v>90</v>
      </c>
      <c r="C519" s="3" t="s">
        <v>22</v>
      </c>
      <c r="D519" s="2" t="s">
        <v>576</v>
      </c>
      <c r="E519" s="3" t="str">
        <f>dtbCommunities[[#This Row],[Island]]&amp;"-"&amp;dtbCommunities[[#This Row],[Area Council]]</f>
        <v xml:space="preserve">Gases-West </v>
      </c>
    </row>
    <row r="520" spans="1:5" x14ac:dyDescent="0.3">
      <c r="A520" s="3" t="s">
        <v>83</v>
      </c>
      <c r="B520" s="3" t="s">
        <v>90</v>
      </c>
      <c r="C520" s="3" t="s">
        <v>22</v>
      </c>
      <c r="D520" s="2" t="s">
        <v>577</v>
      </c>
      <c r="E520" s="3" t="str">
        <f>dtbCommunities[[#This Row],[Island]]&amp;"-"&amp;dtbCommunities[[#This Row],[Area Council]]</f>
        <v xml:space="preserve">Gases-West </v>
      </c>
    </row>
    <row r="521" spans="1:5" x14ac:dyDescent="0.3">
      <c r="A521" s="3" t="s">
        <v>83</v>
      </c>
      <c r="B521" s="3" t="s">
        <v>90</v>
      </c>
      <c r="C521" s="3" t="s">
        <v>22</v>
      </c>
      <c r="D521" s="2" t="s">
        <v>578</v>
      </c>
      <c r="E521" s="3" t="str">
        <f>dtbCommunities[[#This Row],[Island]]&amp;"-"&amp;dtbCommunities[[#This Row],[Area Council]]</f>
        <v xml:space="preserve">Gases-West </v>
      </c>
    </row>
    <row r="522" spans="1:5" x14ac:dyDescent="0.3">
      <c r="A522" s="3" t="s">
        <v>83</v>
      </c>
      <c r="B522" s="3" t="s">
        <v>90</v>
      </c>
      <c r="C522" s="3" t="s">
        <v>22</v>
      </c>
      <c r="D522" s="2" t="s">
        <v>579</v>
      </c>
      <c r="E522" s="3" t="str">
        <f>dtbCommunities[[#This Row],[Island]]&amp;"-"&amp;dtbCommunities[[#This Row],[Area Council]]</f>
        <v xml:space="preserve">Gases-West </v>
      </c>
    </row>
    <row r="523" spans="1:5" x14ac:dyDescent="0.3">
      <c r="A523" s="3" t="s">
        <v>83</v>
      </c>
      <c r="B523" s="3" t="s">
        <v>90</v>
      </c>
      <c r="C523" s="3" t="s">
        <v>22</v>
      </c>
      <c r="D523" s="2" t="s">
        <v>580</v>
      </c>
      <c r="E523" s="3" t="str">
        <f>dtbCommunities[[#This Row],[Island]]&amp;"-"&amp;dtbCommunities[[#This Row],[Area Council]]</f>
        <v xml:space="preserve">Gases-West </v>
      </c>
    </row>
    <row r="524" spans="1:5" x14ac:dyDescent="0.3">
      <c r="A524" s="3" t="s">
        <v>83</v>
      </c>
      <c r="B524" s="3" t="s">
        <v>90</v>
      </c>
      <c r="C524" s="3" t="s">
        <v>22</v>
      </c>
      <c r="D524" s="2" t="s">
        <v>581</v>
      </c>
      <c r="E524" s="3" t="str">
        <f>dtbCommunities[[#This Row],[Island]]&amp;"-"&amp;dtbCommunities[[#This Row],[Area Council]]</f>
        <v xml:space="preserve">Gases-West </v>
      </c>
    </row>
    <row r="525" spans="1:5" x14ac:dyDescent="0.3">
      <c r="A525" s="3" t="s">
        <v>83</v>
      </c>
      <c r="B525" s="3" t="s">
        <v>90</v>
      </c>
      <c r="C525" s="3" t="s">
        <v>22</v>
      </c>
      <c r="D525" s="3" t="s">
        <v>582</v>
      </c>
      <c r="E525" s="3" t="str">
        <f>dtbCommunities[[#This Row],[Island]]&amp;"-"&amp;dtbCommunities[[#This Row],[Area Council]]</f>
        <v xml:space="preserve">Gases-West </v>
      </c>
    </row>
    <row r="526" spans="1:5" x14ac:dyDescent="0.3">
      <c r="A526" s="3" t="s">
        <v>83</v>
      </c>
      <c r="B526" s="3" t="s">
        <v>56</v>
      </c>
      <c r="C526" s="3" t="s">
        <v>21</v>
      </c>
      <c r="D526" s="3" t="s">
        <v>583</v>
      </c>
      <c r="E526" s="3" t="str">
        <f>dtbCommunities[[#This Row],[Island]]&amp;"-"&amp;dtbCommunities[[#This Row],[Area Council]]</f>
        <v>Vinuilivu-East</v>
      </c>
    </row>
    <row r="527" spans="1:5" x14ac:dyDescent="0.3">
      <c r="A527" s="3" t="s">
        <v>83</v>
      </c>
      <c r="B527" s="3" t="s">
        <v>56</v>
      </c>
      <c r="C527" s="3" t="s">
        <v>21</v>
      </c>
      <c r="D527" s="3" t="s">
        <v>584</v>
      </c>
      <c r="E527" s="3" t="str">
        <f>dtbCommunities[[#This Row],[Island]]&amp;"-"&amp;dtbCommunities[[#This Row],[Area Council]]</f>
        <v>Vinuilivu-East</v>
      </c>
    </row>
    <row r="528" spans="1:5" x14ac:dyDescent="0.3">
      <c r="A528" s="3" t="s">
        <v>83</v>
      </c>
      <c r="B528" s="3" t="s">
        <v>56</v>
      </c>
      <c r="C528" s="3" t="s">
        <v>21</v>
      </c>
      <c r="D528" s="3" t="s">
        <v>585</v>
      </c>
      <c r="E528" s="3" t="str">
        <f>dtbCommunities[[#This Row],[Island]]&amp;"-"&amp;dtbCommunities[[#This Row],[Area Council]]</f>
        <v>Vinuilivu-East</v>
      </c>
    </row>
    <row r="529" spans="1:5" x14ac:dyDescent="0.3">
      <c r="A529" s="3" t="s">
        <v>83</v>
      </c>
      <c r="B529" s="3" t="s">
        <v>56</v>
      </c>
      <c r="C529" s="3" t="s">
        <v>21</v>
      </c>
      <c r="D529" s="3" t="s">
        <v>586</v>
      </c>
      <c r="E529" s="3" t="str">
        <f>dtbCommunities[[#This Row],[Island]]&amp;"-"&amp;dtbCommunities[[#This Row],[Area Council]]</f>
        <v>Vinuilivu-East</v>
      </c>
    </row>
    <row r="530" spans="1:5" x14ac:dyDescent="0.3">
      <c r="A530" s="3" t="s">
        <v>83</v>
      </c>
      <c r="B530" s="3" t="s">
        <v>56</v>
      </c>
      <c r="C530" s="3" t="s">
        <v>21</v>
      </c>
      <c r="D530" s="3" t="s">
        <v>587</v>
      </c>
      <c r="E530" s="3" t="str">
        <f>dtbCommunities[[#This Row],[Island]]&amp;"-"&amp;dtbCommunities[[#This Row],[Area Council]]</f>
        <v>Vinuilivu-East</v>
      </c>
    </row>
    <row r="531" spans="1:5" x14ac:dyDescent="0.3">
      <c r="A531" s="3" t="s">
        <v>83</v>
      </c>
      <c r="B531" s="3" t="s">
        <v>56</v>
      </c>
      <c r="C531" s="3" t="s">
        <v>21</v>
      </c>
      <c r="D531" s="3" t="s">
        <v>588</v>
      </c>
      <c r="E531" s="3" t="str">
        <f>dtbCommunities[[#This Row],[Island]]&amp;"-"&amp;dtbCommunities[[#This Row],[Area Council]]</f>
        <v>Vinuilivu-East</v>
      </c>
    </row>
    <row r="532" spans="1:5" x14ac:dyDescent="0.3">
      <c r="A532" s="3" t="s">
        <v>83</v>
      </c>
      <c r="B532" s="3" t="s">
        <v>56</v>
      </c>
      <c r="C532" s="3" t="s">
        <v>21</v>
      </c>
      <c r="D532" s="3" t="s">
        <v>589</v>
      </c>
      <c r="E532" s="3" t="str">
        <f>dtbCommunities[[#This Row],[Island]]&amp;"-"&amp;dtbCommunities[[#This Row],[Area Council]]</f>
        <v>Vinuilivu-East</v>
      </c>
    </row>
    <row r="533" spans="1:5" x14ac:dyDescent="0.3">
      <c r="A533" s="3" t="s">
        <v>83</v>
      </c>
      <c r="B533" s="3" t="s">
        <v>56</v>
      </c>
      <c r="C533" s="3" t="s">
        <v>21</v>
      </c>
      <c r="D533" s="3" t="s">
        <v>590</v>
      </c>
      <c r="E533" s="3" t="str">
        <f>dtbCommunities[[#This Row],[Island]]&amp;"-"&amp;dtbCommunities[[#This Row],[Area Council]]</f>
        <v>Vinuilivu-East</v>
      </c>
    </row>
    <row r="534" spans="1:5" x14ac:dyDescent="0.3">
      <c r="A534" s="3" t="s">
        <v>83</v>
      </c>
      <c r="B534" s="3" t="s">
        <v>56</v>
      </c>
      <c r="C534" s="3" t="s">
        <v>21</v>
      </c>
      <c r="D534" s="3" t="s">
        <v>23</v>
      </c>
      <c r="E534" s="3" t="str">
        <f>dtbCommunities[[#This Row],[Island]]&amp;"-"&amp;dtbCommunities[[#This Row],[Area Council]]</f>
        <v>Vinuilivu-East</v>
      </c>
    </row>
    <row r="535" spans="1:5" x14ac:dyDescent="0.3">
      <c r="A535" s="3" t="s">
        <v>83</v>
      </c>
      <c r="B535" s="3" t="s">
        <v>56</v>
      </c>
      <c r="C535" s="3" t="s">
        <v>21</v>
      </c>
      <c r="D535" s="3" t="s">
        <v>591</v>
      </c>
      <c r="E535" s="3" t="str">
        <f>dtbCommunities[[#This Row],[Island]]&amp;"-"&amp;dtbCommunities[[#This Row],[Area Council]]</f>
        <v>Vinuilivu-East</v>
      </c>
    </row>
    <row r="536" spans="1:5" x14ac:dyDescent="0.3">
      <c r="A536" s="3" t="s">
        <v>83</v>
      </c>
      <c r="B536" s="3" t="s">
        <v>56</v>
      </c>
      <c r="C536" s="3" t="s">
        <v>22</v>
      </c>
      <c r="D536" s="3" t="s">
        <v>592</v>
      </c>
      <c r="E536" s="3" t="str">
        <f>dtbCommunities[[#This Row],[Island]]&amp;"-"&amp;dtbCommunities[[#This Row],[Area Council]]</f>
        <v xml:space="preserve">Vinuilivu-West </v>
      </c>
    </row>
    <row r="537" spans="1:5" x14ac:dyDescent="0.3">
      <c r="A537" s="3" t="s">
        <v>83</v>
      </c>
      <c r="B537" s="3" t="s">
        <v>56</v>
      </c>
      <c r="C537" s="3" t="s">
        <v>22</v>
      </c>
      <c r="D537" s="3" t="s">
        <v>593</v>
      </c>
      <c r="E537" s="3" t="str">
        <f>dtbCommunities[[#This Row],[Island]]&amp;"-"&amp;dtbCommunities[[#This Row],[Area Council]]</f>
        <v xml:space="preserve">Vinuilivu-West </v>
      </c>
    </row>
    <row r="538" spans="1:5" x14ac:dyDescent="0.3">
      <c r="A538" s="3" t="s">
        <v>83</v>
      </c>
      <c r="B538" s="3" t="s">
        <v>56</v>
      </c>
      <c r="C538" s="3" t="s">
        <v>22</v>
      </c>
      <c r="D538" s="3" t="s">
        <v>610</v>
      </c>
      <c r="E538" s="3" t="str">
        <f>dtbCommunities[[#This Row],[Island]]&amp;"-"&amp;dtbCommunities[[#This Row],[Area Council]]</f>
        <v xml:space="preserve">Vinuilivu-West </v>
      </c>
    </row>
    <row r="539" spans="1:5" x14ac:dyDescent="0.3">
      <c r="A539" s="3" t="s">
        <v>83</v>
      </c>
      <c r="B539" s="3" t="s">
        <v>56</v>
      </c>
      <c r="C539" s="3" t="s">
        <v>22</v>
      </c>
      <c r="D539" s="3" t="s">
        <v>594</v>
      </c>
      <c r="E539" s="3" t="str">
        <f>dtbCommunities[[#This Row],[Island]]&amp;"-"&amp;dtbCommunities[[#This Row],[Area Council]]</f>
        <v xml:space="preserve">Vinuilivu-West </v>
      </c>
    </row>
    <row r="540" spans="1:5" x14ac:dyDescent="0.3">
      <c r="A540" s="3" t="s">
        <v>83</v>
      </c>
      <c r="B540" s="3" t="s">
        <v>56</v>
      </c>
      <c r="C540" s="3" t="s">
        <v>22</v>
      </c>
      <c r="D540" s="3" t="s">
        <v>612</v>
      </c>
      <c r="E540" s="3" t="str">
        <f>dtbCommunities[[#This Row],[Island]]&amp;"-"&amp;dtbCommunities[[#This Row],[Area Council]]</f>
        <v xml:space="preserve">Vinuilivu-West </v>
      </c>
    </row>
    <row r="541" spans="1:5" x14ac:dyDescent="0.3">
      <c r="A541" s="3" t="s">
        <v>83</v>
      </c>
      <c r="B541" s="3" t="s">
        <v>56</v>
      </c>
      <c r="C541" s="3" t="s">
        <v>22</v>
      </c>
      <c r="D541" s="3" t="s">
        <v>611</v>
      </c>
      <c r="E541" s="3" t="str">
        <f>dtbCommunities[[#This Row],[Island]]&amp;"-"&amp;dtbCommunities[[#This Row],[Area Council]]</f>
        <v xml:space="preserve">Vinuilivu-West 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9DEA2989DA7A448269944B59A09EE6" ma:contentTypeVersion="15" ma:contentTypeDescription="Create a new document." ma:contentTypeScope="" ma:versionID="227915d2d3a506e4cf2e44de1c07447f">
  <xsd:schema xmlns:xsd="http://www.w3.org/2001/XMLSchema" xmlns:xs="http://www.w3.org/2001/XMLSchema" xmlns:p="http://schemas.microsoft.com/office/2006/metadata/properties" xmlns:ns2="38307ff9-d713-4dfc-a4d6-9a6f655eda99" xmlns:ns3="e437b5dc-c70e-4189-ae9f-0c744c2e71a7" targetNamespace="http://schemas.microsoft.com/office/2006/metadata/properties" ma:root="true" ma:fieldsID="0f1cb5bab3d192ae41ea9cd23409c1e5" ns2:_="" ns3:_="">
    <xsd:import namespace="38307ff9-d713-4dfc-a4d6-9a6f655eda99"/>
    <xsd:import namespace="e437b5dc-c70e-4189-ae9f-0c744c2e71a7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07ff9-d713-4dfc-a4d6-9a6f655eda99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691f5e0f-74b0-4458-bd91-4703d8a37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7b5dc-c70e-4189-ae9f-0c744c2e71a7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a4ddfeb9-e1b2-4e9f-aab5-f5a1daf1dbef}" ma:internalName="TaxCatchAll" ma:showField="CatchAllData" ma:web="e437b5dc-c70e-4189-ae9f-0c744c2e71a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2F8477-DC66-420C-BF44-0629FB522F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CE6358-C8CA-4FFB-B3A7-7465AA5C28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307ff9-d713-4dfc-a4d6-9a6f655eda99"/>
    <ds:schemaRef ds:uri="e437b5dc-c70e-4189-ae9f-0c744c2e71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Guide</vt:lpstr>
      <vt:lpstr>Params</vt:lpstr>
      <vt:lpstr>TableExample</vt:lpstr>
      <vt:lpstr>Example</vt:lpstr>
      <vt:lpstr>ProvinceIslands</vt:lpstr>
      <vt:lpstr>IslandAreaCouncil</vt:lpstr>
      <vt:lpstr>AreaCouncilCommunity</vt:lpstr>
      <vt:lpstr>Data</vt:lpstr>
      <vt:lpstr>afbGuide</vt:lpstr>
      <vt:lpstr>afbParams</vt:lpstr>
      <vt:lpstr>deAreaCouncil</vt:lpstr>
      <vt:lpstr>deIsland</vt:lpstr>
      <vt:lpstr>deIslandAreaCouncil</vt:lpstr>
      <vt:lpstr>deProvince</vt:lpstr>
      <vt:lpstr>gAppDescription</vt:lpstr>
      <vt:lpstr>gCreator</vt:lpstr>
      <vt:lpstr>gProcedures</vt:lpstr>
      <vt:lpstr>gPurpose</vt:lpstr>
      <vt:lpstr>kAppName</vt:lpstr>
      <vt:lpstr>kCrosscheckMsg</vt:lpstr>
      <vt:lpstr>kCrosscheckTolerance</vt:lpstr>
      <vt:lpstr>kNow</vt:lpstr>
      <vt:lpstr>kOrgName</vt:lpstr>
      <vt:lpstr>kVersion</vt:lpstr>
      <vt:lpstr>Guide!Print_Titles</vt:lpstr>
      <vt:lpstr>Params!Print_Titles</vt:lpstr>
      <vt:lpstr>Guide!ttSheet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Paul Oulton</cp:lastModifiedBy>
  <dcterms:created xsi:type="dcterms:W3CDTF">2024-10-14T02:17:43Z</dcterms:created>
  <dcterms:modified xsi:type="dcterms:W3CDTF">2025-08-02T23:18:40Z</dcterms:modified>
</cp:coreProperties>
</file>